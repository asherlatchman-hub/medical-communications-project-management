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045d5f916444eb" /></Relationships>
</file>

<file path=xl/workbook.xml><?xml version="1.0" encoding="utf-8"?>
<x:workbook xmlns:x="http://schemas.openxmlformats.org/spreadsheetml/2006/main">
  <x:sheets>
    <x:sheet xmlns:r="http://schemas.openxmlformats.org/officeDocument/2006/relationships" name="Overview" sheetId="1" r:id="R6464787e51484d22"/>
    <x:sheet xmlns:r="http://schemas.openxmlformats.org/officeDocument/2006/relationships" name="Project Tracker" sheetId="2" r:id="R9414657b5261416f"/>
    <x:sheet xmlns:r="http://schemas.openxmlformats.org/officeDocument/2006/relationships" name="Budget" sheetId="3" r:id="R15275bff3a5a4888"/>
    <x:sheet xmlns:r="http://schemas.openxmlformats.org/officeDocument/2006/relationships" name="Risks &amp; Issues" sheetId="4" r:id="R48f8e07a73884b62"/>
    <x:sheet xmlns:r="http://schemas.openxmlformats.org/officeDocument/2006/relationships" name="Change Control" sheetId="5" r:id="Rbde2f2786e424cea"/>
    <x:sheet xmlns:r="http://schemas.openxmlformats.org/officeDocument/2006/relationships" name="Contact Report" sheetId="6" r:id="R751e0db056314736"/>
    <x:sheet xmlns:r="http://schemas.openxmlformats.org/officeDocument/2006/relationships" name="Sources &amp; Notes" sheetId="7" r:id="R9d24cd2a576046a2"/>
    <x:sheet xmlns:r="http://schemas.openxmlformats.org/officeDocument/2006/relationships" name="AE Workshop" sheetId="8" r:id="Rd9046c2cb8574831"/>
    <x:sheet xmlns:r="http://schemas.openxmlformats.org/officeDocument/2006/relationships" name="Recovery Model" sheetId="9" r:id="Rade916edddba44a2"/>
    <x:sheet xmlns:r="http://schemas.openxmlformats.org/officeDocument/2006/relationships" name="Delivery Dashboard" sheetId="10" r:id="R42fc4a22682f4c51"/>
    <x:sheet xmlns:r="http://schemas.openxmlformats.org/officeDocument/2006/relationships" name="Gantt Timeline" sheetId="11" r:id="R54ec59be5dbd42ef"/>
  </x:sheets>
</x:workbook>
</file>

<file path=xl/sharedStrings.xml><?xml version="1.0" encoding="utf-8"?>
<x:sst xmlns:x="http://schemas.openxmlformats.org/spreadsheetml/2006/main">
  <x:si>
    <x:t xml:space="preserve">MEDCOMMS / ACCOUNT EXECUTIVE</x:t>
  </x:si>
  <x:si>
    <x:t xml:space="preserve">PORTFOLIO CASE STUDY 01 | Fictional scenario · independent skills demonstration</x:t>
  </x:si>
  <x:si>
    <x:t xml:space="preserve">Reporting snapshot</x:t>
  </x:si>
  <x:si>
    <x:t xml:space="preserve">CASE BRIEF</x:t>
  </x:si>
  <x:si>
    <x:t xml:space="preserve">Client</x:t>
  </x:si>
  <x:si>
    <x:t xml:space="preserve">Asteria Bio — fictional biotechnology organisation</x:t>
  </x:si>
  <x:si>
    <x:t xml:space="preserve">Campaign</x:t>
  </x:si>
  <x:si>
    <x:t xml:space="preserve">Non-promotional healthcare-professional webinar: interpreting published hypertension evidence</x:t>
  </x:si>
  <x:si>
    <x:t xml:space="preserve">Objectives</x:t>
  </x:si>
  <x:si>
    <x:t xml:space="preserve">Accurate and accessible scientific education; on-time delivery within approved budget</x:t>
  </x:si>
  <x:si>
    <x:t xml:space="preserve">Deliverables</x:t>
  </x:si>
  <x:si>
    <x:t xml:space="preserve">18-slide educational presentation, speaker brief, live webinar, post-event outcomes report</x:t>
  </x:si>
  <x:si>
    <x:t xml:space="preserve">AE responsibility</x:t>
  </x:si>
  <x:si>
    <x:t xml:space="preserve">Coordinate workstreams, prepare updates, track finances, document decisions and escalate delivery risks</x:t>
  </x:si>
  <x:si>
    <x:t xml:space="preserve">Governance</x:t>
  </x:si>
  <x:si>
    <x:t xml:space="preserve">Scientific/medical review required; Account Manager approves client commitments and scope changes</x:t>
  </x:si>
  <x:si>
    <x:t xml:space="preserve">LIVE SNAPSHOT — formulas calculate from the project tabs</x:t>
  </x:si>
  <x:si>
    <x:t xml:space="preserve">COMPLETED TASKS</x:t>
  </x:si>
  <x:si>
    <x:t xml:space="preserve">TASKS NEED ATTENTION</x:t>
  </x:si>
  <x:si>
    <x:t xml:space="preserve">FORECAST COST</x:t>
  </x:si>
  <x:si>
    <x:t xml:space="preserve">FORECAST VARIANCE</x:t>
  </x:si>
  <x:si>
    <x:t xml:space="preserve">09 Nov: Client requests three additional slides while the first draft is late. The Account Manager is unavailable for two hours.</x:t>
  </x:si>
  <x:si>
    <x:t xml:space="preserve">Act as the AE: verify writing and review capacity, quantify scope impact, log the request, and brief the Account Manager.</x:t>
  </x:si>
  <x:si>
    <x:t xml:space="preserve">Do not promise the client a new deadline, budget or revised scope until the Account Manager authorises it.</x:t>
  </x:si>
  <x:si>
    <x:t xml:space="preserve">Update the tracker, budget, RAID and change-control logs with your proposed resolution.</x:t>
  </x:si>
  <x:si>
    <x:t xml:space="preserve">Use these artifacts to write a 1-page case study: situation → your judgement → decisions → expected outcome.</x:t>
  </x:si>
  <x:si>
    <x:t xml:space="preserve">NEXT STEP → Open 'Delivery Dashboard' for the live task and finance summary; update editable statuses and dates in 'Project Tracker'.</x:t>
  </x:si>
  <x:si>
    <x:t xml:space="preserve">PORTFOLIO INTEGRITY: All people, costs, communications and project outcomes are simulated. No employment or client engagement is implied.</x:t>
  </x:si>
  <x:si>
    <x:t xml:space="preserve">01 / PROJECT DELIVERY</x:t>
  </x:si>
  <x:si>
    <x:t xml:space="preserve">Scenario milestone dates · editable statuses and revised deadlines</x:t>
  </x:si>
  <x:si>
    <x:t xml:space="preserve">ID</x:t>
  </x:si>
  <x:si>
    <x:t xml:space="preserve">Task / deliverable</x:t>
  </x:si>
  <x:si>
    <x:t xml:space="preserve">Team</x:t>
  </x:si>
  <x:si>
    <x:t xml:space="preserve">Baseline due</x:t>
  </x:si>
  <x:si>
    <x:t xml:space="preserve">Revised due</x:t>
  </x:si>
  <x:si>
    <x:t xml:space="preserve">Status</x:t>
  </x:si>
  <x:si>
    <x:t xml:space="preserve">Owner</x:t>
  </x:si>
  <x:si>
    <x:t xml:space="preserve">Risk flag*</x:t>
  </x:si>
  <x:si>
    <x:t xml:space="preserve">Dependencies / AE next action</x:t>
  </x:si>
  <x:si>
    <x:t xml:space="preserve">Days left</x:t>
  </x:si>
  <x:si>
    <x:t xml:space="preserve">Slip (days)</x:t>
  </x:si>
  <x:si>
    <x:t xml:space="preserve">AE follow-up</x:t>
  </x:si>
  <x:si>
    <x:t xml:space="preserve">P01</x:t>
  </x:si>
  <x:si>
    <x:t xml:space="preserve">Kick-off and confirm brief</x:t>
  </x:si>
  <x:si>
    <x:t xml:space="preserve">Accounts</x:t>
  </x:si>
  <x:si>
    <x:t xml:space="preserve">Complete</x:t>
  </x:si>
  <x:si>
    <x:t xml:space="preserve">AE</x:t>
  </x:si>
  <x:si>
    <x:t xml:space="preserve">Record agreed objectives / audience</x:t>
  </x:si>
  <x:si>
    <x:t xml:space="preserve">P02</x:t>
  </x:si>
  <x:si>
    <x:t xml:space="preserve">Scope &amp; budget approval</x:t>
  </x:si>
  <x:si>
    <x:t xml:space="preserve">AM</x:t>
  </x:si>
  <x:si>
    <x:t xml:space="preserve">Approved brief and budget required</x:t>
  </x:si>
  <x:si>
    <x:t xml:space="preserve">P03</x:t>
  </x:si>
  <x:si>
    <x:t xml:space="preserve">Literature source pack</x:t>
  </x:si>
  <x:si>
    <x:t xml:space="preserve">Scientific</x:t>
  </x:si>
  <x:si>
    <x:t xml:space="preserve">Writer</x:t>
  </x:si>
  <x:si>
    <x:t xml:space="preserve">Use credible published sources</x:t>
  </x:si>
  <x:si>
    <x:t xml:space="preserve">P04</x:t>
  </x:si>
  <x:si>
    <x:t xml:space="preserve">18-slide first draft</x:t>
  </x:si>
  <x:si>
    <x:t xml:space="preserve">In progress</x:t>
  </x:si>
  <x:si>
    <x:t xml:space="preserve">Writer capacity and revised timeline</x:t>
  </x:si>
  <x:si>
    <x:t xml:space="preserve">P05</x:t>
  </x:si>
  <x:si>
    <x:t xml:space="preserve">Scientific &amp; accuracy review</x:t>
  </x:si>
  <x:si>
    <x:t xml:space="preserve">Review</x:t>
  </x:si>
  <x:si>
    <x:t xml:space="preserve">Blocked</x:t>
  </x:si>
  <x:si>
    <x:t xml:space="preserve">Reviewer</x:t>
  </x:si>
  <x:si>
    <x:t xml:space="preserve">Requires slide draft; escalate</x:t>
  </x:si>
  <x:si>
    <x:t xml:space="preserve">P06</x:t>
  </x:si>
  <x:si>
    <x:t xml:space="preserve">Design &amp; formatting</x:t>
  </x:si>
  <x:si>
    <x:t xml:space="preserve">Creative</x:t>
  </x:si>
  <x:si>
    <x:t xml:space="preserve">Not started</x:t>
  </x:si>
  <x:si>
    <x:t xml:space="preserve">Designer</x:t>
  </x:si>
  <x:si>
    <x:t xml:space="preserve">Needs reviewed copy</x:t>
  </x:si>
  <x:si>
    <x:t xml:space="preserve">P07</x:t>
  </x:si>
  <x:si>
    <x:t xml:space="preserve">Client content review</x:t>
  </x:si>
  <x:si>
    <x:t xml:space="preserve">Send only after QA</x:t>
  </x:si>
  <x:si>
    <x:t xml:space="preserve">P08</x:t>
  </x:si>
  <x:si>
    <x:t xml:space="preserve">Final medical &amp; client approval</x:t>
  </x:si>
  <x:si>
    <x:t xml:space="preserve">Medical/legal process as needed</x:t>
  </x:si>
  <x:si>
    <x:t xml:space="preserve">P09</x:t>
  </x:si>
  <x:si>
    <x:t xml:space="preserve">Speaker briefing &amp; rehearsal</x:t>
  </x:si>
  <x:si>
    <x:t xml:space="preserve">Events</x:t>
  </x:si>
  <x:si>
    <x:t xml:space="preserve">Confirm speaker and materials</x:t>
  </x:si>
  <x:si>
    <x:t xml:space="preserve">P10</x:t>
  </x:si>
  <x:si>
    <x:t xml:space="preserve">Webinar logistics &amp; dry run</x:t>
  </x:si>
  <x:si>
    <x:t xml:space="preserve">Platform, joining instructions, checks</x:t>
  </x:si>
  <x:si>
    <x:t xml:space="preserve">P11</x:t>
  </x:si>
  <x:si>
    <x:t xml:space="preserve">HCP educational webinar</x:t>
  </x:si>
  <x:si>
    <x:t xml:space="preserve">Final content and platform approval</x:t>
  </x:si>
  <x:si>
    <x:t xml:space="preserve">P12</x:t>
  </x:si>
  <x:si>
    <x:t xml:space="preserve">Post-webinar outcomes report</x:t>
  </x:si>
  <x:si>
    <x:t xml:space="preserve">Attendance / feedback metrics</x:t>
  </x:si>
  <x:si>
    <x:t xml:space="preserve">* Risk flags use the fictional reporting date on Overview (B5), not TODAY(). Dates and status are editable blue cells.</x:t>
  </x:si>
  <x:si>
    <x:t xml:space="preserve">At risk = 3+ days of schedule slip and not due within the next 3 days; blocked/overdue always take precedence.</x:t>
  </x:si>
  <x:si>
    <x:t xml:space="preserve">02 / PROJECT FINANCES</x:t>
  </x:si>
  <x:si>
    <x:t xml:space="preserve">Illustrative internal budget (not a quote) · change requests require approval</x:t>
  </x:si>
  <x:si>
    <x:t xml:space="preserve">Workstream</x:t>
  </x:si>
  <x:si>
    <x:t xml:space="preserve">Plan hours</x:t>
  </x:si>
  <x:si>
    <x:t xml:space="preserve">Rate (£/hr)</x:t>
  </x:si>
  <x:si>
    <x:t xml:space="preserve">Budget (£)</x:t>
  </x:si>
  <x:si>
    <x:t xml:space="preserve">Used hours</x:t>
  </x:si>
  <x:si>
    <x:t xml:space="preserve">Spent (£)</x:t>
  </x:si>
  <x:si>
    <x:t xml:space="preserve">Hours to go</x:t>
  </x:si>
  <x:si>
    <x:t xml:space="preserve">Estimate at completion (£)</x:t>
  </x:si>
  <x:si>
    <x:t xml:space="preserve">Variance (£)</x:t>
  </x:si>
  <x:si>
    <x:t xml:space="preserve">Action</x:t>
  </x:si>
  <x:si>
    <x:t xml:space="preserve">Medical writing</x:t>
  </x:si>
  <x:si>
    <x:t xml:space="preserve">Overrun likely—confirm scope</x:t>
  </x:si>
  <x:si>
    <x:t xml:space="preserve">Scientific review</x:t>
  </x:si>
  <x:si>
    <x:t xml:space="preserve">Review capacity bottleneck</x:t>
  </x:si>
  <x:si>
    <x:t xml:space="preserve">Graphic design</x:t>
  </x:si>
  <x:si>
    <x:t xml:space="preserve">Pending approved copy</x:t>
  </x:si>
  <x:si>
    <x:t xml:space="preserve">Account coordination</x:t>
  </x:si>
  <x:si>
    <x:t xml:space="preserve">Additional client meetings</x:t>
  </x:si>
  <x:si>
    <x:t xml:space="preserve">Event production</x:t>
  </x:si>
  <x:si>
    <x:t xml:space="preserve">Fixed webinar date</x:t>
  </x:si>
  <x:si>
    <x:t xml:space="preserve">Supplier platform</x:t>
  </x:si>
  <x:si>
    <x:t xml:space="preserve">Check contract / PO</x:t>
  </x:si>
  <x:si>
    <x:t xml:space="preserve">TOTAL</x:t>
  </x:si>
  <x:si>
    <x:t xml:space="preserve">INTERPRETATION / ACCOUNT EXECUTIVE DECISION</x:t>
  </x:si>
  <x:si>
    <x:t xml:space="preserve">Budget above is based on fictional hourly charge-out rates. Actual agency costs and client billing could use different models.</x:t>
  </x:si>
  <x:si>
    <x:t xml:space="preserve">The AE tracks forecast versus authorised budget and flags emerging overruns—not independently approves extra spending.</x:t>
  </x:si>
  <x:si>
    <x:t xml:space="preserve">For additional client slides: estimate incremental writer/reviewer/design hours; propose scope trade-off or additional budget via the Account Manager.</x:t>
  </x:si>
  <x:si>
    <x:t xml:space="preserve">A change is not agreed until the authorised parties document approval. Track versions and commercial impact.</x:t>
  </x:si>
  <x:si>
    <x:t xml:space="preserve">03 / RISKS &amp; ISSUES</x:t>
  </x:si>
  <x:si>
    <x:t xml:space="preserve">Proactive risk identification, ownership, escalation and mitigation</x:t>
  </x:si>
  <x:si>
    <x:t xml:space="preserve">Type</x:t>
  </x:si>
  <x:si>
    <x:t xml:space="preserve">Risk or issue</x:t>
  </x:si>
  <x:si>
    <x:t xml:space="preserve">Likelihood</x:t>
  </x:si>
  <x:si>
    <x:t xml:space="preserve">Impact</x:t>
  </x:si>
  <x:si>
    <x:t xml:space="preserve">Current status</x:t>
  </x:si>
  <x:si>
    <x:t xml:space="preserve">Mitigation / next step</x:t>
  </x:si>
  <x:si>
    <x:t xml:space="preserve">Escalate?</x:t>
  </x:si>
  <x:si>
    <x:t xml:space="preserve">R01</x:t>
  </x:si>
  <x:si>
    <x:t xml:space="preserve">Issue</x:t>
  </x:si>
  <x:si>
    <x:t xml:space="preserve">First slide draft delayed, jeopardising downstream medical review</x:t>
  </x:si>
  <x:si>
    <x:t xml:space="preserve">High</x:t>
  </x:si>
  <x:si>
    <x:t xml:space="preserve">AE / Writer</x:t>
  </x:si>
  <x:si>
    <x:t xml:space="preserve">Open</x:t>
  </x:si>
  <x:si>
    <x:t xml:space="preserve">Confirm realistic writing capacity; prioritise critical path; inform AM</x:t>
  </x:si>
  <x:si>
    <x:t xml:space="preserve">Yes</x:t>
  </x:si>
  <x:si>
    <x:t xml:space="preserve">R02</x:t>
  </x:si>
  <x:si>
    <x:t xml:space="preserve">Risk</x:t>
  </x:si>
  <x:si>
    <x:t xml:space="preserve">Client adds 3 slides after brief approval</x:t>
  </x:si>
  <x:si>
    <x:t xml:space="preserve">Assess extra scope, hours, approvals and deadline impact</x:t>
  </x:si>
  <x:si>
    <x:t xml:space="preserve">R03</x:t>
  </x:si>
  <x:si>
    <x:t xml:space="preserve">Scientific claim lacks traceable literature source</x:t>
  </x:si>
  <x:si>
    <x:t xml:space="preserve">Medium</x:t>
  </x:si>
  <x:si>
    <x:t xml:space="preserve">Evidence table + references; block release until signed off</x:t>
  </x:si>
  <x:si>
    <x:t xml:space="preserve">R04</x:t>
  </x:si>
  <x:si>
    <x:t xml:space="preserve">Multiple revisions create wrong-version delivery</x:t>
  </x:si>
  <x:si>
    <x:t xml:space="preserve">Mitigating</x:t>
  </x:si>
  <x:si>
    <x:t xml:space="preserve">Central version register, owner and approvals record</x:t>
  </x:si>
  <x:si>
    <x:t xml:space="preserve">No</x:t>
  </x:si>
  <x:si>
    <x:t xml:space="preserve">R05</x:t>
  </x:si>
  <x:si>
    <x:t xml:space="preserve">Webinar platform rehearsal delayed</x:t>
  </x:si>
  <x:si>
    <x:t xml:space="preserve">Low</x:t>
  </x:si>
  <x:si>
    <x:t xml:space="preserve">Monitoring</x:t>
  </x:si>
  <x:si>
    <x:t xml:space="preserve">Book dry run and backup conferencing route</x:t>
  </x:si>
  <x:si>
    <x:t xml:space="preserve">04 / CHANGE CONTROL</x:t>
  </x:si>
  <x:si>
    <x:t xml:space="preserve">Treat additional client requests as impact-assessment and approval decisions</x:t>
  </x:si>
  <x:si>
    <x:t xml:space="preserve">Change ID</x:t>
  </x:si>
  <x:si>
    <x:t xml:space="preserve">Received</x:t>
  </x:si>
  <x:si>
    <x:t xml:space="preserve">Client request</x:t>
  </x:si>
  <x:si>
    <x:t xml:space="preserve">Initial assessment</x:t>
  </x:si>
  <x:si>
    <x:t xml:space="preserve">Estimated cost (£)</x:t>
  </x:si>
  <x:si>
    <x:t xml:space="preserve">Time impact (days)</x:t>
  </x:si>
  <x:si>
    <x:t xml:space="preserve">Decision owner</x:t>
  </x:si>
  <x:si>
    <x:t xml:space="preserve">Approval status</x:t>
  </x:si>
  <x:si>
    <x:t xml:space="preserve">AE next step</x:t>
  </x:si>
  <x:si>
    <x:t xml:space="preserve">CR-001</x:t>
  </x:si>
  <x:si>
    <x:t xml:space="preserve">Add three new scientific comparison slides</x:t>
  </x:si>
  <x:si>
    <x:t xml:space="preserve">Extra research, writing, review and design</x:t>
  </x:si>
  <x:si>
    <x:t xml:space="preserve">Account Manager</x:t>
  </x:si>
  <x:si>
    <x:t xml:space="preserve">Proposed - Awaiting Approval</x:t>
  </x:si>
  <x:si>
    <x:t xml:space="preserve">Recommend scoped change request to AM. Confirm delivery capacity, medical review and client agreement before proceeding.</x:t>
  </x:si>
  <x:si>
    <x:t xml:space="preserve">CR-002</x:t>
  </x:si>
  <x:si>
    <x:t xml:space="preserve">Revise chart data and visual style</x:t>
  </x:si>
  <x:si>
    <x:t xml:space="preserve">Medical verification required; limited design impact</x:t>
  </x:si>
  <x:si>
    <x:t xml:space="preserve">In review</x:t>
  </x:si>
  <x:si>
    <x:t xml:space="preserve">Validate source and designer effort; log medical review</x:t>
  </x:si>
  <x:si>
    <x:t xml:space="preserve">DECISION OPTIONS TO PREPARE FOR ACCOUNT MANAGER</x:t>
  </x:si>
  <x:si>
    <x:t xml:space="preserve">1 · Keep delivery date</x:t>
  </x:si>
  <x:si>
    <x:t xml:space="preserve">Reprioritise non-critical work; check actual spare capacity and QA protection; do not assume overtime is free.</x:t>
  </x:si>
  <x:si>
    <x:t xml:space="preserve">2 · Agree revised deadline</x:t>
  </x:si>
  <x:si>
    <x:t xml:space="preserve">Quantify critical-path impact and request AM permission to discuss extension with client.</x:t>
  </x:si>
  <x:si>
    <x:t xml:space="preserve">3 · Adjust scope</x:t>
  </x:si>
  <x:si>
    <x:t xml:space="preserve">Ask whether existing slides could be adapted rather than introducing three wholly new scientific slides.</x:t>
  </x:si>
  <x:si>
    <x:t xml:space="preserve">4 · Additional funding</x:t>
  </x:si>
  <x:si>
    <x:t xml:space="preserve">Provide documented revised estimate; get commercial approval before adding chargeable work.</x:t>
  </x:si>
  <x:si>
    <x:t xml:space="preserve">05 / CONTACT REPORT</x:t>
  </x:si>
  <x:si>
    <x:t xml:space="preserve">Sample meeting record and escalation log · fictional clients and messages</x:t>
  </x:si>
  <x:si>
    <x:t xml:space="preserve">Date</x:t>
  </x:si>
  <x:si>
    <x:t xml:space="preserve">Audience</x:t>
  </x:si>
  <x:si>
    <x:t xml:space="preserve">Topic</x:t>
  </x:si>
  <x:si>
    <x:t xml:space="preserve">Update / action recorded</x:t>
  </x:si>
  <x:si>
    <x:t xml:space="preserve">Due</x:t>
  </x:si>
  <x:si>
    <x:t xml:space="preserve">AM sign-off</x:t>
  </x:si>
  <x:si>
    <x:t xml:space="preserve">Internal + client</x:t>
  </x:si>
  <x:si>
    <x:t xml:space="preserve">Kick-off</x:t>
  </x:si>
  <x:si>
    <x:t xml:space="preserve">Confirm scope: 18 slides; medical review; webinar on 25 Nov</x:t>
  </x:si>
  <x:si>
    <x:t xml:space="preserve">Done</x:t>
  </x:si>
  <x:si>
    <x:t xml:space="preserve">Writer / reviewer</x:t>
  </x:si>
  <x:si>
    <x:t xml:space="preserve">First draft progress</x:t>
  </x:si>
  <x:si>
    <x:t xml:space="preserve">Request detailed forecast, review buffer and missing evidence list</x:t>
  </x:si>
  <x:si>
    <x:t xml:space="preserve">Not needed</x:t>
  </x:si>
  <x:si>
    <x:t xml:space="preserve">Internal</x:t>
  </x:si>
  <x:si>
    <x:t xml:space="preserve">Three-slide change</x:t>
  </x:si>
  <x:si>
    <x:t xml:space="preserve">Collect writer, reviewer and designer effort; calculate budget/time options</x:t>
  </x:si>
  <x:si>
    <x:t xml:space="preserve">Pending</x:t>
  </x:si>
  <x:si>
    <x:t xml:space="preserve">Urgent escalation</x:t>
  </x:si>
  <x:si>
    <x:t xml:space="preserve">First draft late; scientific review blocked. Present 3 recovery scenarios and approval needs</x:t>
  </x:si>
  <x:si>
    <x:t xml:space="preserve">Receipt acknowledgement</x:t>
  </x:si>
  <x:si>
    <x:t xml:space="preserve">Acknowledge request, confirm team assessing feasibility; avoid unapproved promise</x:t>
  </x:si>
  <x:si>
    <x:t xml:space="preserve">Draft</x:t>
  </x:si>
  <x:si>
    <x:t xml:space="preserve">SAMPLE DRAFT / INTERNAL ESCALATION NOTE — adapt into your own words</x:t>
  </x:si>
  <x:si>
    <x:t xml:space="preserve">Subject: Webinar slides — delivery risk and additional client request</x:t>
  </x:si>
  <x:si>
    <x:t xml:space="preserve">The writing team has flagged a delay to the 18-slide draft, which affects the planned review window. The client has also requested three extra slides beyond the approved scope.</x:t>
  </x:si>
  <x:si>
    <x:t xml:space="preserve">I am confirming revised effort estimates with the writer, medical reviewer and designer, including the impact on quality review and the live webinar date.</x:t>
  </x:si>
  <x:si>
    <x:t xml:space="preserve">My recommendation is to present the client with a scoped set of options after your review: replace existing content, approve additional time/budget, or move the content to post-event materials.</x:t>
  </x:si>
  <x:si>
    <x:t xml:space="preserve">I have logged the issues in the project tracker, RAID log and change register. I will not commit to revised costs or timings before your approval.</x:t>
  </x:si>
  <x:si>
    <x:t xml:space="preserve">06 / SOURCES &amp; USE</x:t>
  </x:si>
  <x:si>
    <x:t xml:space="preserve">Reference</x:t>
  </x:si>
  <x:si>
    <x:t xml:space="preserve">What it establishes</x:t>
  </x:si>
  <x:si>
    <x:t xml:space="preserve">Source URL</x:t>
  </x:si>
  <x:si>
    <x:t xml:space="preserve">Checked / context</x:t>
  </x:si>
  <x:si>
    <x:t xml:space="preserve">IPG Health Fuel</x:t>
  </x:si>
  <x:si>
    <x:t xml:space="preserve">Training route accepts career changers; project coordination, timelines and financial trackers</x:t>
  </x:si>
  <x:si>
    <x:t xml:space="preserve">https://jobs.weekday.works/ipg-health-medical-communications-associate-account-executive</x:t>
  </x:si>
  <x:si>
    <x:t xml:space="preserve">Role text; availability not confirmed</x:t>
  </x:si>
  <x:si>
    <x:t xml:space="preserve">BOLDSCIENCE AE</x:t>
  </x:si>
  <x:si>
    <x:t xml:space="preserve">Account executive responsibilities include status reports, meeting logs, client liaison and budget tracking</x:t>
  </x:si>
  <x:si>
    <x:t xml:space="preserve">https://builtinlondon.uk/job/account-executive/11311563</x:t>
  </x:si>
  <x:si>
    <x:t xml:space="preserve">2026 job description</x:t>
  </x:si>
  <x:si>
    <x:t xml:space="preserve">BBH Graduate / Entry Health</x:t>
  </x:si>
  <x:si>
    <x:t xml:space="preserve">Early-career health account work includes finances, deadlines, commercial and client coordination</x:t>
  </x:si>
  <x:si>
    <x:t xml:space="preserve">https://careers.publicisgroupe.com/PS-SignUp-27/jobs/174678</x:t>
  </x:si>
  <x:si>
    <x:t xml:space="preserve">18 Sep 2026 posting</x:t>
  </x:si>
  <x:si>
    <x:t xml:space="preserve">Healthcare Communications Association</x:t>
  </x:si>
  <x:si>
    <x:t xml:space="preserve">Independent portfolio development encouraged for sector entry</x:t>
  </x:si>
  <x:si>
    <x:t xml:space="preserve">https://healthcomms.careers/Careers-Information/Starting-your-career</x:t>
  </x:si>
  <x:si>
    <x:t xml:space="preserve">Career guidance</x:t>
  </x:si>
  <x:si>
    <x:t xml:space="preserve">THE LIVE ACCOUNT SNAPSHOT  |  10 NOV 2026</x:t>
  </x:si>
  <x:si>
    <x:t xml:space="preserve">Client / event</x:t>
  </x:si>
  <x:si>
    <x:t xml:space="preserve">Asteria Bio (fictional)</x:t>
  </x:si>
  <x:si>
    <x:t xml:space="preserve">Webinar</x:t>
  </x:si>
  <x:si>
    <x:t xml:space="preserve">Approved budget</x:t>
  </x:si>
  <x:si>
    <x:t xml:space="preserve">Forecast at completion</x:t>
  </x:si>
  <x:si>
    <x:t xml:space="preserve">Forecast overspend</x:t>
  </x:si>
  <x:si>
    <x:t xml:space="preserve">Overspend (%)</x:t>
  </x:si>
  <x:si>
    <x:t xml:space="preserve">BUDGET NOTE: Change requests £900 and £325 are estimates awaiting approval. Check for overlap with the base forecast before adding them.</x:t>
  </x:si>
  <x:si>
    <x:t xml:space="preserve">WHAT HAS HAPPENED</x:t>
  </x:si>
  <x:si>
    <x:t xml:space="preserve">09 NOV  •  Medical writer says the first draft needs another three days; scientific review is blocked.</x:t>
  </x:si>
  <x:si>
    <x:t xml:space="preserve">09 NOV  •  Client requests three additional slides; estimated £900 extra and two more days (not authorised).</x:t>
  </x:si>
  <x:si>
    <x:t xml:space="preserve">10 NOV  •  Client also requests a chart revision; source accuracy must be checked (£325 estimate).</x:t>
  </x:si>
  <x:si>
    <x:t xml:space="preserve">CONSTRAINT  •  The Account Manager is unreachable for two hours. The webinar date is fixed. Review is currently revised to SAT 14 NOV.</x:t>
  </x:si>
  <x:si>
    <x:t xml:space="preserve">01 — FIRST 30 MINUTES
Who do you contact first, and what exactly do you need to verify before proposing a solution?</x:t>
  </x:si>
  <x:si>
    <x:t xml:space="preserve">Contact the medical writer to identify the cause of the delay, confirm the revised delivery date and estimate the additional work required. Consult the design and medical review teams to assess resource availability and scheduling constraints. Document the risks and prepare an update for the Account Manager before committing to changes.</x:t>
  </x:si>
  <x:si>
    <x:t xml:space="preserve">02 — CRITICAL PATH
What is most at risk? Check revised deadlines, scientific approval, and whether the Saturday review is feasible.</x:t>
  </x:si>
  <x:si>
    <x:t xml:space="preserve">The biggest risk is the delayed draft disrupting scientific review and design. The revised Saturday review date also requires confirmation of reviewer availability. Any missed approval could affect the fixed webinar deadline.</x:t>
  </x:si>
  <x:si>
    <x:t xml:space="preserve">03 — OPTIONS FOR YOUR AM
Provide two realistic options, covering time, additional cost, scientific review and client expectations.</x:t>
  </x:si>
  <x:si>
    <x:t xml:space="preserve">Option A: Use the existing design team to minimise additional costs, provided the revised schedule can accommodate scientific review and final approvals.
Option B: Consider freelance design support for £600 to protect the review deadline, subject to budget approval and confirmation of scientific quality requirements.
Recommend Option B if internal resources cannot meet the necessary approval dates.</x:t>
  </x:si>
  <x:si>
    <x:t xml:space="preserve">04 — INTERNAL UPDATE
Draft a concise four-sentence message to your Account Manager: facts, risks, options and approval needed.</x:t>
  </x:si>
  <x:si>
    <x:t xml:space="preserve">The medical writer has reported a three-day delay, affecting our scientific review and subsequent design schedule. The client has also requested three additional slides, creating additional resource and budget pressures. I've consulted the relevant teams and identified internal scheduling adjustments and freelance design support as potential solutions. I recommend reviewing these options together before approving expenditure or confirming any revised deadlines to the client.</x:t>
  </x:si>
  <x:si>
    <x:t xml:space="preserve">05 — CLIENT ACKNOWLEDGEMENT
Draft a short professional client reply without promising costs, dates or revised scope before approval.</x:t>
  </x:si>
  <x:si>
    <x:t xml:space="preserve">Thank you for sharing your request for the three additional slides. We understand the importance of incorporating the latest clinical evidence into the presentation. I'll coordinate with our medical writing, review and design teams to assess the requirements and potential impact on the existing project scope and timeline. We'll follow up once the proposed approach has been reviewed internally.</x:t>
  </x:si>
  <x:si>
    <x:t xml:space="preserve">06 — DOCUMENTATION
Which three project records will you update, and what would you change in each?</x:t>
  </x:si>
  <x:si>
    <x:t xml:space="preserve">Project Tracker: Update revised deadlines, task statuses, dependencies and responsible team members.
Risk Register: Record the writing delay, potential missed review deadlines, budget overrun and proposed mitigation actions.
Change Control: Document the additional three-slide request, estimated costs, impact on resources and approval status.
I would also update the client contact report to maintain an accurate record of communications and agreed next steps.</x:t>
  </x:si>
  <x:si>
    <x:t xml:space="preserve">Scientific claims have source references and qualified scientific / medical review.</x:t>
  </x:si>
  <x:si>
    <x:t xml:space="preserve">Not reviewed</x:t>
  </x:si>
  <x:si>
    <x:t xml:space="preserve">Any new scope is costed and its effect on review and design timelines is understood.</x:t>
  </x:si>
  <x:si>
    <x:t xml:space="preserve">Needs work</x:t>
  </x:si>
  <x:si>
    <x:t xml:space="preserve">Revised dates are actually achievable (not weekends without confirmed coverage).</x:t>
  </x:si>
  <x:si>
    <x:t xml:space="preserve">Account Manager has reviewed/authorised external commitments and commercial changes.</x:t>
  </x:si>
  <x:si>
    <x:t xml:space="preserve">Tracker, risk register, change log and client contact report all tell the same story.</x:t>
  </x:si>
  <x:si>
    <x:t xml:space="preserve">PORTFOLIO ETHICS  •  This is an independent simulation; figures, clients, approvals and responses are fictional.</x:t>
  </x:si>
  <x:si>
    <x:t xml:space="preserve">MEDCOMMS  /  DELIVERY RECOVERY MODEL</x:t>
  </x:si>
  <x:si>
    <x:t xml:space="preserve">PORTFOLIO 01     •     Asteria Bio (fictional)     •     3 additional hypertension evidence slides</x:t>
  </x:si>
  <x:si>
    <x:t xml:space="preserve">01   |   PROJECT FINANCES &amp; DELIVERY CONSTRAINTS</x:t>
  </x:si>
  <x:si>
    <x:t xml:space="preserve">Current forecast</x:t>
  </x:si>
  <x:si>
    <x:t xml:space="preserve">Current overrun</x:t>
  </x:si>
  <x:si>
    <x:t xml:space="preserve">Medical review slot</x:t>
  </x:si>
  <x:si>
    <x:t xml:space="preserve">Webinar date</x:t>
  </x:si>
  <x:si>
    <x:t xml:space="preserve">Original slides</x:t>
  </x:si>
  <x:si>
    <x:t xml:space="preserve">Approval owner</x:t>
  </x:si>
  <x:si>
    <x:t xml:space="preserve">Requested extra slides</x:t>
  </x:si>
  <x:si>
    <x:t xml:space="preserve">Review scope</x:t>
  </x:si>
  <x:si>
    <x:t xml:space="preserve">Extra slides only</x:t>
  </x:si>
  <x:si>
    <x:t xml:space="preserve">Design option</x:t>
  </x:si>
  <x:si>
    <x:t xml:space="preserve">Slides delivered</x:t>
  </x:si>
  <x:si>
    <x:t xml:space="preserve">Extra fee (£)</x:t>
  </x:si>
  <x:si>
    <x:t xml:space="preserve">Revised forecast</x:t>
  </x:si>
  <x:si>
    <x:t xml:space="preserve">Variance vs plan</x:t>
  </x:si>
  <x:si>
    <x:t xml:space="preserve">Days to review</x:t>
  </x:si>
  <x:si>
    <x:t xml:space="preserve">Medical review?</x:t>
  </x:si>
  <x:si>
    <x:t xml:space="preserve">Days to webinar</x:t>
  </x:si>
  <x:si>
    <x:t xml:space="preserve">AE next action</x:t>
  </x:si>
  <x:si>
    <x:t xml:space="preserve">Existing designers</x:t>
  </x:si>
  <x:si>
    <x:t xml:space="preserve">Freelance support</x:t>
  </x:si>
  <x:si>
    <x:t xml:space="preserve">03   |   FORMULA-BASED RECOMMENDATION</x:t>
  </x:si>
  <x:si>
    <x:t xml:space="preserve">Feasible options</x:t>
  </x:si>
  <x:si>
    <x:t xml:space="preserve">Least-cost feasible</x:t>
  </x:si>
  <x:si>
    <x:t xml:space="preserve">Approval required</x:t>
  </x:si>
  <x:si>
    <x:t xml:space="preserve">Selected forecast</x:t>
  </x:si>
  <x:si>
    <x:t xml:space="preserve">Selected variance</x:t>
  </x:si>
  <x:si>
    <x:t xml:space="preserve">Review buffer (days)</x:t>
  </x:si>
  <x:si>
    <x:t xml:space="preserve">This 20 November slot is for the 3 extra slides; the original draft review is tracked separately in Project Tracker.</x:t>
  </x:si>
  <x:si>
    <x:t xml:space="preserve">Checks before approval</x:t>
  </x:si>
  <x:si>
    <x:t xml:space="preserve">Confirm review capacity, final QA, availability of the freelancer and whether their £600 fee overlaps with forecast costs.</x:t>
  </x:si>
  <x:si>
    <x:t xml:space="preserve">Your recommendation</x:t>
  </x:si>
  <x:si>
    <x:t xml:space="preserve">MODEL NOTES &amp; GOVERNANCE</x:t>
  </x:si>
  <x:si>
    <x:t xml:space="preserve">The £600 freelancer fee is added to the existing forecast: double-counting must be checked before requesting approval.</x:t>
  </x:si>
  <x:si>
    <x:t xml:space="preserve">A feasible date is not approval: scientific accuracy, version control and client sign-off still apply.</x:t>
  </x:si>
  <x:si>
    <x:t xml:space="preserve">All figures, brands and client scenarios are fictional and presented for skills demonstration.</x:t>
  </x:si>
  <x:si>
    <x:t xml:space="preserve">DELIVERY CONTROL  /  HEALTHCARE WEBINAR</x:t>
  </x:si>
  <x:si>
    <x:t xml:space="preserve">Fictional Asteria Bio project  •  Formula-driven snapshot linked to Project Tracker, Budget and Recovery Model</x:t>
  </x:si>
  <x:si>
    <x:t xml:space="preserve">Snapshot date</x:t>
  </x:si>
  <x:si>
    <x:t xml:space="preserve">Data mode</x:t>
  </x:si>
  <x:si>
    <x:t xml:space="preserve">SIMULATED</x:t>
  </x:si>
  <x:si>
    <x:t xml:space="preserve">01  |  DELIVERY PULSE</x:t>
  </x:si>
  <x:si>
    <x:t xml:space="preserve">OPEN / ACTIVE</x:t>
  </x:si>
  <x:si>
    <x:t xml:space="preserve">NEED ATTENTION</x:t>
  </x:si>
  <x:si>
    <x:t xml:space="preserve">DUE WITHIN 7 DAYS</x:t>
  </x:si>
  <x:si>
    <x:t xml:space="preserve">MAX SLIPPAGE</x:t>
  </x:si>
  <x:si>
    <x:t xml:space="preserve">DAYS TO WEBINAR</x:t>
  </x:si>
  <x:si>
    <x:t xml:space="preserve">02  |  COMMERCIAL HEALTH</x:t>
  </x:si>
  <x:si>
    <x:t xml:space="preserve">APPROVED BUDGET</x:t>
  </x:si>
  <x:si>
    <x:t xml:space="preserve">FORECAST TOTAL</x:t>
  </x:si>
  <x:si>
    <x:t xml:space="preserve">PROJECTED OVERSPEND</x:t>
  </x:si>
  <x:si>
    <x:t xml:space="preserve">03  |  MILESTONE GATES &amp; NEXT STEPS</x:t>
  </x:si>
  <x:si>
    <x:t xml:space="preserve">04  |  TASK STATUS MIX</x:t>
  </x:si>
  <x:si>
    <x:t xml:space="preserve">Deliverable</x:t>
  </x:si>
  <x:si>
    <x:t xml:space="preserve">Risk flag</x:t>
  </x:si>
  <x:si>
    <x:t xml:space="preserve">Account Executive follow-up</x:t>
  </x:si>
  <x:si>
    <x:t xml:space="preserve">Stage</x:t>
  </x:si>
  <x:si>
    <x:t xml:space="preserve">Tasks</x:t>
  </x:si>
  <x:si>
    <x:t xml:space="preserve">05  |  PROJECT CONTROLS / HOW TO USE</x:t>
  </x:si>
  <x:si>
    <x:t xml:space="preserve">01.  Edit Status (column F) or Revised due (column E) on Project Tracker. Blue cells indicate inputs.</x:t>
  </x:si>
  <x:si>
    <x:t xml:space="preserve">02.  Risk flags use the fictional 10 November 2026 reporting date. Overdue and Blocked take priority.</x:t>
  </x:si>
  <x:si>
    <x:t xml:space="preserve">03.  The dashboard reads from source sheets. This workbook is a simulated independent portfolio case study.</x:t>
  </x:si>
  <x:si>
    <x:t xml:space="preserve">04.  Only the Account Manager may approve client commitments, revised scope or additional expenditure.</x:t>
  </x:si>
  <x:si>
    <x:t xml:space="preserve">NEW  |  Open 'Gantt Timeline' for a formula-driven day-by-day schedule and dependency warnings.</x:t>
  </x:si>
  <x:si>
    <x:t xml:space="preserve">PROJECT 01  /  DELIVERY GANTT &amp; DEPENDENCIES</x:t>
  </x:si>
  <x:si>
    <x:t xml:space="preserve">HYPERTENSION HCP WEBINAR   |   02 NOV — 03 DEC 2026</x:t>
  </x:si>
  <x:si>
    <x:t xml:space="preserve">ASTERIA BIO  •  fictional client  •  schedule and gates linked to Project Tracker</x:t>
  </x:si>
  <x:si>
    <x:t xml:space="preserve">SLIPPED TASKS</x:t>
  </x:si>
  <x:si>
    <x:t xml:space="preserve">GATE CONFLICTS</x:t>
  </x:si>
  <x:si>
    <x:t xml:space="preserve">LATEST DUE</x:t>
  </x:si>
  <x:si>
    <x:t xml:space="preserve">■ active work   │ baseline deadline   ◆ revised milestone  •  automatic dependency conflicts</x:t>
  </x:si>
  <x:si>
    <x:t xml:space="preserve">01    TASK SCHEDULE  /  PROJECT GATES</x:t>
  </x:si>
  <x:si>
    <x:t xml:space="preserve">WEEK 1</x:t>
  </x:si>
  <x:si>
    <x:t xml:space="preserve">WEEK 2</x:t>
  </x:si>
  <x:si>
    <x:t xml:space="preserve">WEEK 3</x:t>
  </x:si>
  <x:si>
    <x:t xml:space="preserve">WEEK 4</x:t>
  </x:si>
  <x:si>
    <x:t xml:space="preserve">WEEK 5</x:t>
  </x:si>
  <x:si>
    <x:t xml:space="preserve">DELIVERABLE</x:t>
  </x:si>
  <x:si>
    <x:t xml:space="preserve">TEAM</x:t>
  </x:si>
  <x:si>
    <x:t xml:space="preserve">START  ✎</x:t>
  </x:si>
  <x:si>
    <x:t xml:space="preserve">ORIGINAL DUE</x:t>
  </x:si>
  <x:si>
    <x:t xml:space="preserve">REVISED DUE</x:t>
  </x:si>
  <x:si>
    <x:t xml:space="preserve">STATUS</x:t>
  </x:si>
  <x:si>
    <x:t xml:space="preserve">GATE AFTER</x:t>
  </x:si>
  <x:si>
    <x:t xml:space="preserve">SLIP</x:t>
  </x:si>
  <x:si>
    <x:t xml:space="preserve">GATE CHECK</x:t>
  </x:si>
  <x:si>
    <x:t xml:space="preserve">OWNER</x:t>
  </x:si>
  <x:si>
    <x:t xml:space="preserve">02    DELIVERY LOGIC / WHAT THE TIMELINE TELLS YOU</x:t>
  </x:si>
  <x:si>
    <x:t xml:space="preserve">GATE AFTER is the primary task that should finish before this task starts. CONFLICT means the predecessor's revised due date is on or after this task's scheduled start.</x:t>
  </x:si>
  <x:si>
    <x:t xml:space="preserve">Recovery Model is a separate what-if comparison; it does not automatically commit its scenario to this schedule.</x:t>
  </x:si>
  <x:si>
    <x:t xml:space="preserve">Calendar days are shown, including weekends; check working-day availability and medical approvals before making commitments.</x:t>
  </x:si>
</x:sst>
</file>

<file path=xl/styles.xml><?xml version="1.0" encoding="utf-8"?>
<x:styleSheet xmlns:x="http://schemas.openxmlformats.org/spreadsheetml/2006/main">
  <x:numFmts count="8">
    <x:numFmt numFmtId="164" formatCode="dd\ mmm\ yyyy"/>
    <x:numFmt numFmtId="165" formatCode="\£#,##0"/>
    <x:numFmt numFmtId="166" formatCode="\£#,##0;[Red]\(\£#,##0\)"/>
    <x:numFmt numFmtId="167" formatCode="0.0%"/>
    <x:numFmt numFmtId="168" formatCode="0;[Red]\(0\);\–"/>
    <x:numFmt numFmtId="169" formatCode="&quot;£&quot;#,##0;[Red]\(&quot;£&quot;#,##0\)"/>
    <x:numFmt numFmtId="170" formatCode="dd\ mmm"/>
    <x:numFmt numFmtId="171" formatCode="dd"/>
  </x:numFmts>
  <x:fonts count="52">
    <x:font>
      <x:sz val="11"/>
      <x:name val="Carlito"/>
    </x:font>
    <x:font>
      <x:b/>
      <x:sz val="17"/>
      <x:color rgb="FFFFFFFF"/>
      <x:name val="Carlito"/>
    </x:font>
    <x:font>
      <x:i/>
      <x:sz val="10"/>
      <x:color rgb="FF152238"/>
      <x:name val="Carlito"/>
    </x:font>
    <x:font>
      <x:b/>
      <x:sz val="11"/>
      <x:color rgb="FFFFFFFF"/>
      <x:name val="Carlito"/>
    </x:font>
    <x:font>
      <x:sz val="10"/>
      <x:color rgb="FF152238"/>
      <x:name val="Carlito"/>
    </x:font>
    <x:font>
      <x:b/>
      <x:sz val="10"/>
      <x:color rgb="FF132238"/>
      <x:name val="Carlito"/>
    </x:font>
    <x:font>
      <x:b/>
      <x:sz val="11"/>
      <x:color rgb="FF132238"/>
      <x:name val="Carlito"/>
    </x:font>
    <x:font>
      <x:b/>
      <x:sz val="20"/>
      <x:color rgb="FF132238"/>
      <x:name val="Carlito"/>
    </x:font>
    <x:font>
      <x:sz val="11"/>
      <x:color rgb="FF152238"/>
      <x:name val="Carlito"/>
    </x:font>
    <x:font>
      <x:i/>
      <x:sz val="11"/>
      <x:color rgb="FF152238"/>
      <x:name val="Carlito"/>
    </x:font>
    <x:font>
      <x:sz val="11"/>
      <x:color rgb="FF14253D"/>
      <x:name val="Carlito"/>
    </x:font>
    <x:font>
      <x:sz val="11"/>
      <x:color rgb="FF213349"/>
      <x:name val="Carlito"/>
    </x:font>
    <x:font>
      <x:b/>
      <x:sz val="11"/>
      <x:color rgb="FF213349"/>
      <x:name val="Carlito"/>
    </x:font>
    <x:font>
      <x:b/>
      <x:sz val="11"/>
      <x:name val="Carlito"/>
    </x:font>
    <x:font>
      <x:b/>
      <x:sz val="11"/>
      <x:color rgb="FF14253D"/>
      <x:name val="Carlito"/>
    </x:font>
    <x:font>
      <x:sz val="11"/>
      <x:color rgb="FF355C86"/>
      <x:name val="Carlito"/>
    </x:font>
    <x:font>
      <x:sz val="10"/>
      <x:color rgb="FF203249"/>
      <x:name val="Aptos"/>
    </x:font>
    <x:font>
      <x:b/>
      <x:sz val="16"/>
      <x:color rgb="FFFFFFFF"/>
      <x:name val="Aptos"/>
    </x:font>
    <x:font>
      <x:b/>
      <x:sz val="10"/>
      <x:color rgb="FFFFFFFF"/>
      <x:name val="Aptos"/>
    </x:font>
    <x:font>
      <x:b/>
      <x:sz val="11"/>
      <x:color rgb="FFFFFFFF"/>
      <x:name val="Aptos"/>
    </x:font>
    <x:font>
      <x:b/>
      <x:sz val="10"/>
      <x:color rgb="FF203249"/>
      <x:name val="Aptos"/>
    </x:font>
    <x:font>
      <x:b/>
      <x:sz val="10"/>
      <x:color rgb="FF0B477D"/>
      <x:name val="Aptos"/>
    </x:font>
    <x:font>
      <x:b/>
      <x:sz val="10"/>
      <x:color rgb="FF145C67"/>
      <x:name val="Aptos"/>
    </x:font>
    <x:font>
      <x:i/>
      <x:sz val="10"/>
      <x:color rgb="FF203249"/>
      <x:name val="Aptos"/>
    </x:font>
    <x:font>
      <x:sz val="10"/>
      <x:color rgb="FF0B477D"/>
      <x:name val="Aptos"/>
    </x:font>
    <x:font>
      <x:sz val="10"/>
      <x:color rgb="FF65758A"/>
      <x:name val="Aptos"/>
    </x:font>
    <x:font>
      <x:sz val="11"/>
      <x:color rgb="FF223247"/>
      <x:name val="Carlito"/>
    </x:font>
    <x:font>
      <x:i/>
      <x:sz val="11"/>
      <x:color rgb="FF52657B"/>
      <x:name val="Carlito"/>
    </x:font>
    <x:font>
      <x:sz val="11"/>
      <x:color rgb="FF52657B"/>
      <x:name val="Carlito"/>
    </x:font>
    <x:font>
      <x:sz val="10"/>
      <x:color rgb="FF223247"/>
      <x:name val="Carlito"/>
    </x:font>
    <x:font>
      <x:i/>
      <x:sz val="10"/>
      <x:color rgb="FF52657B"/>
      <x:name val="Carlito"/>
    </x:font>
    <x:font>
      <x:b/>
      <x:sz val="10"/>
      <x:color rgb="FF52657B"/>
      <x:name val="Carlito"/>
    </x:font>
    <x:font>
      <x:b/>
      <x:sz val="10"/>
      <x:color rgb="FFFFFFFF"/>
      <x:name val="Carlito"/>
    </x:font>
    <x:font>
      <x:b/>
      <x:sz val="9"/>
      <x:color rgb="FF52657B"/>
      <x:name val="Carlito"/>
    </x:font>
    <x:font>
      <x:b/>
      <x:sz val="22"/>
      <x:color rgb="FF15263D"/>
      <x:name val="Carlito"/>
    </x:font>
    <x:font>
      <x:b/>
      <x:sz val="18"/>
      <x:color rgb="FF15263D"/>
      <x:name val="Carlito"/>
    </x:font>
    <x:font>
      <x:b/>
      <x:sz val="18"/>
      <x:color rgb="FFAA3131"/>
      <x:name val="Carlito"/>
    </x:font>
    <x:font>
      <x:b/>
      <x:sz val="10"/>
      <x:color rgb="FF15263D"/>
      <x:name val="Carlito"/>
    </x:font>
    <x:font>
      <x:i/>
      <x:sz val="10"/>
      <x:color rgb="FF526477"/>
      <x:name val="Carlito"/>
    </x:font>
    <x:font>
      <x:b/>
      <x:sz val="10"/>
      <x:color rgb="FF526477"/>
      <x:name val="Carlito"/>
    </x:font>
    <x:font>
      <x:b/>
      <x:sz val="13"/>
      <x:color rgb="FF14243B"/>
      <x:name val="Carlito"/>
    </x:font>
    <x:font>
      <x:sz val="10"/>
      <x:color rgb="FF526477"/>
      <x:name val="Carlito"/>
    </x:font>
    <x:font>
      <x:b/>
      <x:sz val="9"/>
      <x:color rgb="FFFFFFFF"/>
      <x:name val="Carlito"/>
    </x:font>
    <x:font>
      <x:b/>
      <x:sz val="9"/>
      <x:color rgb="FF14243B"/>
      <x:name val="Carlito"/>
    </x:font>
    <x:font>
      <x:sz val="10"/>
      <x:color rgb="FF1F334A"/>
      <x:name val="Carlito"/>
    </x:font>
    <x:font>
      <x:b/>
      <x:sz val="10"/>
      <x:color rgb="FF2369A8"/>
      <x:name val="Carlito"/>
    </x:font>
    <x:font>
      <x:sz val="10"/>
      <x:color rgb="FF2369A8"/>
      <x:name val="Carlito"/>
    </x:font>
    <x:font>
      <x:sz val="12"/>
      <x:color rgb="FF164B78"/>
      <x:name val="Carlito"/>
    </x:font>
    <x:font>
      <x:b/>
      <x:sz val="10"/>
      <x:color rgb="FF14243B"/>
      <x:name val="Carlito"/>
    </x:font>
    <x:font>
      <x:b/>
      <x:sz val="12"/>
      <x:color rgb="FFD7EFF1"/>
      <x:name val="Carlito"/>
    </x:font>
    <x:font>
      <x:sz val="10"/>
      <x:color rgb="FF355C86"/>
      <x:name val="Carlito"/>
    </x:font>
    <x:font>
      <x:sz val="8"/>
      <x:color rgb="FF355C86"/>
      <x:name val="Carlito"/>
    </x:font>
  </x:fonts>
  <x:fills count="41">
    <x:fill>
      <x:patternFill patternType="none"/>
    </x:fill>
    <x:fill>
      <x:patternFill patternType="gray125"/>
    </x:fill>
    <x:fill>
      <x:patternFill patternType="solid">
        <x:fgColor rgb="FF132238"/>
      </x:patternFill>
    </x:fill>
    <x:fill>
      <x:patternFill patternType="solid">
        <x:fgColor rgb="FFE9F4F6"/>
      </x:patternFill>
    </x:fill>
    <x:fill>
      <x:patternFill patternType="solid">
        <x:fgColor rgb="FF087E8B"/>
      </x:patternFill>
    </x:fill>
    <x:fill>
      <x:patternFill patternType="solid">
        <x:fgColor rgb="FFF8FAFC"/>
      </x:patternFill>
    </x:fill>
    <x:fill>
      <x:patternFill patternType="solid">
        <x:fgColor rgb="FFFFFFFF"/>
      </x:patternFill>
    </x:fill>
    <x:fill>
      <x:patternFill patternType="solid">
        <x:fgColor rgb="FFF3F7FA"/>
      </x:patternFill>
    </x:fill>
    <x:fill>
      <x:patternFill patternType="solid">
        <x:fgColor rgb="FFFFF1D6"/>
      </x:patternFill>
    </x:fill>
    <x:fill>
      <x:patternFill patternType="solid">
        <x:fgColor rgb="FF14253D"/>
      </x:patternFill>
    </x:fill>
    <x:fill>
      <x:patternFill patternType="solid">
        <x:fgColor rgb="FFDDF4F1"/>
      </x:patternFill>
    </x:fill>
    <x:fill>
      <x:patternFill patternType="solid">
        <x:fgColor rgb="FFF3F6F9"/>
      </x:patternFill>
    </x:fill>
    <x:fill>
      <x:patternFill patternType="solid">
        <x:fgColor rgb="FFFFF2D5"/>
      </x:patternFill>
    </x:fill>
    <x:fill>
      <x:patternFill patternType="solid">
        <x:fgColor rgb="FFFFFFFF"/>
      </x:patternFill>
    </x:fill>
    <x:fill>
      <x:patternFill patternType="solid">
        <x:fgColor rgb="FFE9F2FF"/>
      </x:patternFill>
    </x:fill>
    <x:fill>
      <x:patternFill patternType="solid">
        <x:fgColor rgb="FF13243A"/>
      </x:patternFill>
    </x:fill>
    <x:fill>
      <x:patternFill patternType="solid">
        <x:fgColor rgb="FF1C737F"/>
      </x:patternFill>
    </x:fill>
    <x:fill>
      <x:patternFill patternType="solid">
        <x:fgColor rgb="FFF3F6FA"/>
      </x:patternFill>
    </x:fill>
    <x:fill>
      <x:patternFill patternType="solid">
        <x:fgColor rgb="FFDDF0FF"/>
      </x:patternFill>
    </x:fill>
    <x:fill>
      <x:patternFill patternType="solid">
        <x:fgColor rgb="FFE8F5F5"/>
      </x:patternFill>
    </x:fill>
    <x:fill>
      <x:patternFill patternType="solid">
        <x:fgColor rgb="FF0E7C86"/>
      </x:patternFill>
    </x:fill>
    <x:fill>
      <x:patternFill patternType="solid">
        <x:fgColor rgb="FFF3F7FA"/>
      </x:patternFill>
    </x:fill>
    <x:fill>
      <x:patternFill patternType="solid">
        <x:fgColor rgb="FFE9F2FF"/>
      </x:patternFill>
    </x:fill>
    <x:fill>
      <x:patternFill patternType="solid">
        <x:fgColor rgb="FFFFFFFF"/>
      </x:patternFill>
    </x:fill>
    <x:fill>
      <x:patternFill patternType="solid">
        <x:fgColor rgb="FF15263D"/>
      </x:patternFill>
    </x:fill>
    <x:fill>
      <x:patternFill patternType="solid">
        <x:fgColor rgb="FFE9F3F5"/>
      </x:patternFill>
    </x:fill>
    <x:fill>
      <x:patternFill patternType="solid">
        <x:fgColor rgb="FFF2F6F9"/>
      </x:patternFill>
    </x:fill>
    <x:fill>
      <x:patternFill patternType="solid">
        <x:fgColor rgb="FFF0F5F8"/>
      </x:patternFill>
    </x:fill>
    <x:fill>
      <x:patternFill patternType="solid">
        <x:fgColor rgb="FFDDECEF"/>
      </x:patternFill>
    </x:fill>
    <x:fill>
      <x:patternFill patternType="solid">
        <x:fgColor rgb="FFF5F8FA"/>
      </x:patternFill>
    </x:fill>
    <x:fill>
      <x:patternFill patternType="solid">
        <x:fgColor rgb="FF14243B"/>
      </x:patternFill>
    </x:fill>
    <x:fill>
      <x:patternFill patternType="solid">
        <x:fgColor rgb="FFE6F2F5"/>
      </x:patternFill>
    </x:fill>
    <x:fill>
      <x:patternFill patternType="solid">
        <x:fgColor rgb="FFE9F0F5"/>
      </x:patternFill>
    </x:fill>
    <x:fill>
      <x:patternFill patternType="solid">
        <x:fgColor rgb="FF087E85"/>
      </x:patternFill>
    </x:fill>
    <x:fill>
      <x:patternFill patternType="solid">
        <x:fgColor rgb="FF246F77"/>
      </x:patternFill>
    </x:fill>
    <x:fill>
      <x:patternFill patternType="solid">
        <x:fgColor rgb="FFDEE7F0"/>
      </x:patternFill>
    </x:fill>
    <x:fill>
      <x:patternFill patternType="solid">
        <x:fgColor rgb="FFE6F4FF"/>
      </x:patternFill>
    </x:fill>
    <x:fill>
      <x:patternFill patternType="solid">
        <x:fgColor rgb="FFF1F5F9"/>
      </x:patternFill>
    </x:fill>
    <x:fill>
      <x:patternFill patternType="solid">
        <x:fgColor rgb="FFFFFFFF"/>
      </x:patternFill>
    </x:fill>
    <x:fill>
      <x:patternFill patternType="solid">
        <x:fgColor rgb="FFF5F8FA"/>
      </x:patternFill>
    </x:fill>
    <x:fill>
      <x:patternFill patternType="solid">
        <x:fgColor rgb="FFDDF2F0"/>
      </x:patternFill>
    </x:fill>
  </x:fills>
  <x:borders count="1">
    <x:border/>
  </x:borders>
  <x:cellStyleXfs count="1">
    <x:xf numFmtId="0" fontId="0" fillId="0" borderId="0"/>
  </x:cellStyleXfs>
  <x:cellXfs count="119">
    <x:xf numFmtId="0" fontId="0" fillId="0" borderId="0" xfId="0"/>
    <x:xf numFmtId="0" fontId="0" fillId="0" borderId="0" xfId="0" applyAlignment="1">
      <x:alignment wrapText="1"/>
    </x:xf>
    <x:xf numFmtId="164" fontId="0" fillId="0" borderId="0" xfId="0" applyNumberFormat="1" applyAlignment="1">
      <x:alignment wrapText="1"/>
    </x:xf>
    <x:xf numFmtId="0" fontId="4" fillId="0" borderId="0" xfId="0" applyFont="1" applyAlignment="1">
      <x:alignment vertical="center" wrapText="1"/>
    </x:xf>
    <x:xf numFmtId="0" fontId="5" fillId="3" borderId="0" xfId="0" applyFont="1" applyFill="1" applyAlignment="1">
      <x:alignment vertical="center" wrapText="1"/>
    </x:xf>
    <x:xf numFmtId="0" fontId="3" fillId="4" borderId="0" xfId="0" applyFont="1" applyFill="1" applyAlignment="1">
      <x:alignment vertical="center" wrapText="1"/>
    </x:xf>
    <x:xf numFmtId="164" fontId="4" fillId="0" borderId="0" xfId="0" applyNumberFormat="1" applyFont="1" applyAlignment="1">
      <x:alignment vertical="center" wrapText="1"/>
    </x:xf>
    <x:xf numFmtId="0" fontId="3" fillId="2" borderId="0" xfId="0" applyFont="1" applyFill="1" applyAlignment="1">
      <x:alignment wrapText="1"/>
    </x:xf>
    <x:xf numFmtId="165" fontId="4" fillId="0" borderId="0" xfId="0" applyNumberFormat="1" applyFont="1" applyAlignment="1">
      <x:alignment vertical="center" wrapText="1"/>
    </x:xf>
    <x:xf numFmtId="165" fontId="3" fillId="2" borderId="0" xfId="0" applyNumberFormat="1" applyFont="1" applyFill="1" applyAlignment="1">
      <x:alignment wrapText="1"/>
    </x:xf>
    <x:xf numFmtId="166" fontId="4" fillId="0" borderId="0" xfId="0" applyNumberFormat="1" applyFont="1" applyAlignment="1">
      <x:alignment vertical="center" wrapText="1"/>
    </x:xf>
    <x:xf numFmtId="166" fontId="3" fillId="2" borderId="0" xfId="0" applyNumberFormat="1" applyFont="1" applyFill="1" applyAlignment="1">
      <x:alignment wrapText="1"/>
    </x:xf>
    <x:xf numFmtId="0" fontId="13" fillId="0" borderId="0" xfId="0" applyFont="1"/>
    <x:xf numFmtId="166" fontId="13" fillId="0" borderId="0" xfId="0" applyNumberFormat="1" applyFont="1"/>
    <x:xf numFmtId="164" fontId="13" fillId="0" borderId="0" xfId="0" applyNumberFormat="1" applyFont="1"/>
    <x:xf numFmtId="167" fontId="13" fillId="0" borderId="0" xfId="0" applyNumberFormat="1" applyFont="1"/>
    <x:xf numFmtId="0" fontId="0" fillId="14" borderId="0" xfId="0" applyFill="1"/>
    <x:xf numFmtId="0" fontId="16" fillId="0" borderId="0" xfId="0" applyFont="1"/>
    <x:xf numFmtId="0" fontId="20" fillId="17" borderId="0" xfId="0" applyFont="1" applyFill="1" applyAlignment="1">
      <x:alignment vertical="center"/>
    </x:xf>
    <x:xf numFmtId="0" fontId="18" fillId="16" borderId="0" xfId="0" applyFont="1" applyFill="1" applyAlignment="1">
      <x:alignment vertical="center" wrapText="1"/>
    </x:xf>
    <x:xf numFmtId="0" fontId="16" fillId="0" borderId="0" xfId="0" applyFont="1" applyAlignment="1">
      <x:alignment vertical="center"/>
    </x:xf>
    <x:xf numFmtId="0" fontId="16" fillId="17" borderId="0" xfId="0" applyFont="1" applyFill="1" applyAlignment="1">
      <x:alignment vertical="center"/>
    </x:xf>
    <x:xf numFmtId="0" fontId="16" fillId="17" borderId="0" xfId="0" applyFont="1" applyFill="1" applyAlignment="1">
      <x:alignment vertical="center" wrapText="1"/>
    </x:xf>
    <x:xf numFmtId="0" fontId="20" fillId="0" borderId="0" xfId="0" applyFont="1"/>
    <x:xf numFmtId="0" fontId="22" fillId="19" borderId="0" xfId="0" applyFont="1" applyFill="1" applyAlignment="1">
      <x:alignment wrapText="1"/>
    </x:xf>
    <x:xf numFmtId="0" fontId="20" fillId="0" borderId="0" xfId="0" applyFont="1" applyAlignment="1">
      <x:alignment wrapText="1"/>
    </x:xf>
    <x:xf numFmtId="166" fontId="16" fillId="0" borderId="0" xfId="0" applyNumberFormat="1" applyFont="1"/>
    <x:xf numFmtId="164" fontId="16" fillId="0" borderId="0" xfId="0" applyNumberFormat="1" applyFont="1"/>
    <x:xf numFmtId="164" fontId="21" fillId="18" borderId="0" xfId="0" applyNumberFormat="1" applyFont="1" applyFill="1" applyAlignment="1">
      <x:alignment vertical="center"/>
    </x:xf>
    <x:xf numFmtId="166" fontId="21" fillId="18" borderId="0" xfId="0" applyNumberFormat="1" applyFont="1" applyFill="1" applyAlignment="1">
      <x:alignment vertical="center"/>
    </x:xf>
    <x:xf numFmtId="166" fontId="16" fillId="17" borderId="0" xfId="0" applyNumberFormat="1" applyFont="1" applyFill="1" applyAlignment="1">
      <x:alignment vertical="center"/>
    </x:xf>
    <x:xf numFmtId="166" fontId="20" fillId="0" borderId="0" xfId="0" applyNumberFormat="1" applyFont="1"/>
    <x:xf numFmtId="0" fontId="3" fillId="20" borderId="0" xfId="0" applyFont="1" applyFill="1" applyAlignment="1">
      <x:alignment vertical="center"/>
    </x:xf>
    <x:xf numFmtId="0" fontId="26" fillId="21" borderId="0" xfId="0" applyFont="1" applyFill="1" applyAlignment="1">
      <x:alignment vertical="center"/>
    </x:xf>
    <x:xf numFmtId="168" fontId="26" fillId="21" borderId="0" xfId="0" applyNumberFormat="1" applyFont="1" applyFill="1" applyAlignment="1">
      <x:alignment vertical="center"/>
    </x:xf>
    <x:xf numFmtId="164" fontId="4" fillId="22" borderId="0" xfId="0" applyNumberFormat="1" applyFont="1" applyFill="1" applyAlignment="1">
      <x:alignment vertical="center" wrapText="1"/>
    </x:xf>
    <x:xf numFmtId="0" fontId="4" fillId="22" borderId="0" xfId="0" applyFont="1" applyFill="1" applyAlignment="1">
      <x:alignment vertical="center" wrapText="1"/>
    </x:xf>
    <x:xf numFmtId="0" fontId="28" fillId="0" borderId="0" xfId="0" applyFont="1"/>
    <x:xf numFmtId="0" fontId="28" fillId="0" borderId="0" xfId="0" applyFont="1" applyAlignment="1">
      <x:alignment wrapText="1"/>
    </x:xf>
    <x:xf numFmtId="0" fontId="29" fillId="23" borderId="0" xfId="0" applyFont="1" applyFill="1"/>
    <x:xf numFmtId="0" fontId="31" fillId="26" borderId="0" xfId="0" applyFont="1" applyFill="1"/>
    <x:xf numFmtId="164" fontId="31" fillId="26" borderId="0" xfId="0" applyNumberFormat="1" applyFont="1" applyFill="1"/>
    <x:xf numFmtId="0" fontId="33" fillId="27" borderId="0" xfId="0" applyFont="1" applyFill="1"/>
    <x:xf numFmtId="0" fontId="29" fillId="27" borderId="0" xfId="0" applyFont="1" applyFill="1"/>
    <x:xf numFmtId="0" fontId="34" fillId="27" borderId="0" xfId="0" applyFont="1" applyFill="1"/>
    <x:xf numFmtId="169" fontId="35" fillId="27" borderId="0" xfId="0" applyNumberFormat="1" applyFont="1" applyFill="1"/>
    <x:xf numFmtId="169" fontId="36" fillId="27" borderId="0" xfId="0" applyNumberFormat="1" applyFont="1" applyFill="1"/>
    <x:xf numFmtId="0" fontId="37" fillId="28" borderId="0" xfId="0" applyFont="1" applyFill="1"/>
    <x:xf numFmtId="0" fontId="29" fillId="29" borderId="0" xfId="0" applyFont="1" applyFill="1" applyAlignment="1">
      <x:alignment vertical="center"/>
    </x:xf>
    <x:xf numFmtId="0" fontId="29" fillId="23" borderId="0" xfId="0" applyFont="1" applyFill="1" applyAlignment="1">
      <x:alignment vertical="center"/>
    </x:xf>
    <x:xf numFmtId="164" fontId="29" fillId="29" borderId="0" xfId="0" applyNumberFormat="1" applyFont="1" applyFill="1" applyAlignment="1">
      <x:alignment vertical="center"/>
    </x:xf>
    <x:xf numFmtId="164" fontId="29" fillId="23" borderId="0" xfId="0" applyNumberFormat="1" applyFont="1" applyFill="1" applyAlignment="1">
      <x:alignment vertical="center"/>
    </x:xf>
    <x:xf numFmtId="168" fontId="29" fillId="29" borderId="0" xfId="0" applyNumberFormat="1" applyFont="1" applyFill="1" applyAlignment="1">
      <x:alignment vertical="center"/>
    </x:xf>
    <x:xf numFmtId="168" fontId="29" fillId="23" borderId="0" xfId="0" applyNumberFormat="1" applyFont="1" applyFill="1" applyAlignment="1">
      <x:alignment vertical="center"/>
    </x:xf>
    <x:xf numFmtId="0" fontId="40" fillId="32" borderId="0" xfId="0" applyFont="1" applyFill="1" applyAlignment="1">
      <x:alignment horizontal="center"/>
    </x:xf>
    <x:xf numFmtId="170" fontId="40" fillId="32" borderId="0" xfId="0" applyNumberFormat="1" applyFont="1" applyFill="1" applyAlignment="1">
      <x:alignment horizontal="center"/>
    </x:xf>
    <x:xf numFmtId="0" fontId="43" fillId="35" borderId="0" xfId="0" applyFont="1" applyFill="1" applyAlignment="1">
      <x:alignment horizontal="center"/>
    </x:xf>
    <x:xf numFmtId="171" fontId="43" fillId="35" borderId="0" xfId="0" applyNumberFormat="1" applyFont="1" applyFill="1" applyAlignment="1">
      <x:alignment horizontal="center"/>
    </x:xf>
    <x:xf numFmtId="0" fontId="44" fillId="0" borderId="0" xfId="0" applyFont="1" applyAlignment="1">
      <x:alignment vertical="center"/>
    </x:xf>
    <x:xf numFmtId="0" fontId="46" fillId="36" borderId="0" xfId="0" applyFont="1" applyFill="1" applyAlignment="1">
      <x:alignment horizontal="center" vertical="center"/>
    </x:xf>
    <x:xf numFmtId="170" fontId="45" fillId="36" borderId="0" xfId="0" applyNumberFormat="1" applyFont="1" applyFill="1" applyAlignment="1">
      <x:alignment horizontal="center" vertical="center"/>
    </x:xf>
    <x:xf numFmtId="170" fontId="44" fillId="0" borderId="0" xfId="0" applyNumberFormat="1" applyFont="1" applyAlignment="1">
      <x:alignment vertical="center"/>
    </x:xf>
    <x:xf numFmtId="0" fontId="44" fillId="0" borderId="0" xfId="0" applyFont="1" applyAlignment="1">
      <x:alignment horizontal="center" vertical="center"/>
    </x:xf>
    <x:xf numFmtId="0" fontId="47" fillId="0" borderId="0" xfId="0" applyFont="1" applyAlignment="1">
      <x:alignment horizontal="center" vertical="center"/>
    </x:xf>
    <x:xf numFmtId="0" fontId="44" fillId="37" borderId="0" xfId="0" applyFont="1" applyFill="1" applyAlignment="1">
      <x:alignment vertical="center"/>
    </x:xf>
    <x:xf numFmtId="170" fontId="44" fillId="37" borderId="0" xfId="0" applyNumberFormat="1" applyFont="1" applyFill="1" applyAlignment="1">
      <x:alignment vertical="center"/>
    </x:xf>
    <x:xf numFmtId="0" fontId="44" fillId="37" borderId="0" xfId="0" applyFont="1" applyFill="1" applyAlignment="1">
      <x:alignment horizontal="center" vertical="center"/>
    </x:xf>
    <x:xf numFmtId="0" fontId="1" fillId="2" borderId="0" xfId="0" applyFont="1" applyFill="1" applyAlignment="1">
      <x:alignment vertical="center" wrapText="1"/>
    </x:xf>
    <x:xf numFmtId="0" fontId="2" fillId="3" borderId="0" xfId="0" applyFont="1" applyFill="1" applyAlignment="1">
      <x:alignment wrapText="1"/>
    </x:xf>
    <x:xf numFmtId="0" fontId="3" fillId="4" borderId="0" xfId="0" applyFont="1" applyFill="1" applyAlignment="1">
      <x:alignment wrapText="1"/>
    </x:xf>
    <x:xf numFmtId="0" fontId="4" fillId="0" borderId="0" xfId="0" applyFont="1" applyAlignment="1">
      <x:alignment vertical="center" wrapText="1"/>
    </x:xf>
    <x:xf numFmtId="0" fontId="6" fillId="3" borderId="0" xfId="0" applyFont="1" applyFill="1" applyAlignment="1">
      <x:alignment horizontal="center" wrapText="1"/>
    </x:xf>
    <x:xf numFmtId="0" fontId="7" fillId="5" borderId="0" xfId="0" applyFont="1" applyFill="1" applyAlignment="1">
      <x:alignment horizontal="center" vertical="center" wrapText="1"/>
    </x:xf>
    <x:xf numFmtId="165" fontId="7" fillId="5" borderId="0" xfId="0" applyNumberFormat="1" applyFont="1" applyFill="1" applyAlignment="1">
      <x:alignment horizontal="center" vertical="center" wrapText="1"/>
    </x:xf>
    <x:xf numFmtId="166" fontId="7" fillId="5" borderId="0" xfId="0" applyNumberFormat="1" applyFont="1" applyFill="1" applyAlignment="1">
      <x:alignment horizontal="center" vertical="center" wrapText="1"/>
    </x:xf>
    <x:xf numFmtId="0" fontId="8" fillId="6" borderId="0" xfId="0" applyFont="1" applyFill="1" applyAlignment="1">
      <x:alignment wrapText="1"/>
    </x:xf>
    <x:xf numFmtId="0" fontId="8" fillId="7" borderId="0" xfId="0" applyFont="1" applyFill="1" applyAlignment="1">
      <x:alignment wrapText="1"/>
    </x:xf>
    <x:xf numFmtId="0" fontId="9" fillId="8" borderId="0" xfId="0" applyFont="1" applyFill="1" applyAlignment="1">
      <x:alignment wrapText="1"/>
    </x:xf>
    <x:xf numFmtId="0" fontId="14" fillId="10" borderId="0" xfId="0" applyFont="1" applyFill="1" applyAlignment="1">
      <x:alignment wrapText="1"/>
    </x:xf>
    <x:xf numFmtId="0" fontId="27" fillId="0" borderId="0" xfId="0" applyFont="1" applyAlignment="1">
      <x:alignment wrapText="1"/>
    </x:xf>
    <x:xf numFmtId="0" fontId="8" fillId="3" borderId="0" xfId="0" applyFont="1" applyFill="1" applyAlignment="1">
      <x:alignment wrapText="1"/>
    </x:xf>
    <x:xf numFmtId="0" fontId="4" fillId="3" borderId="0" xfId="0" applyFont="1" applyFill="1" applyAlignment="1">
      <x:alignment wrapText="1"/>
    </x:xf>
    <x:xf numFmtId="0" fontId="4" fillId="6" borderId="0" xfId="0" applyFont="1" applyFill="1" applyAlignment="1">
      <x:alignment wrapText="1"/>
    </x:xf>
    <x:xf numFmtId="0" fontId="3" fillId="9" borderId="0" xfId="0" applyFont="1" applyFill="1"/>
    <x:xf numFmtId="0" fontId="10" fillId="10" borderId="0" xfId="0" applyFont="1" applyFill="1"/>
    <x:xf numFmtId="0" fontId="12" fillId="11" borderId="0" xfId="0" applyFont="1" applyFill="1"/>
    <x:xf numFmtId="0" fontId="11" fillId="12" borderId="0" xfId="0" applyFont="1" applyFill="1" applyAlignment="1">
      <x:alignment wrapText="1"/>
    </x:xf>
    <x:xf numFmtId="0" fontId="11" fillId="11" borderId="0" xfId="0" applyFont="1" applyFill="1" applyAlignment="1">
      <x:alignment wrapText="1"/>
    </x:xf>
    <x:xf numFmtId="0" fontId="11" fillId="13" borderId="0" xfId="0" applyFont="1" applyFill="1" applyAlignment="1">
      <x:alignment wrapText="1"/>
    </x:xf>
    <x:xf numFmtId="0" fontId="14" fillId="11" borderId="0" xfId="0" applyFont="1" applyFill="1" applyAlignment="1">
      <x:alignment wrapText="1"/>
    </x:xf>
    <x:xf numFmtId="0" fontId="15" fillId="14" borderId="0" xfId="0" applyFont="1" applyFill="1" applyAlignment="1">
      <x:alignment wrapText="1"/>
    </x:xf>
    <x:xf numFmtId="0" fontId="17" fillId="15" borderId="0" xfId="0" applyFont="1" applyFill="1" applyAlignment="1">
      <x:alignment vertical="center"/>
    </x:xf>
    <x:xf numFmtId="0" fontId="18" fillId="16" borderId="0" xfId="0" applyFont="1" applyFill="1" applyAlignment="1">
      <x:alignment vertical="center"/>
    </x:xf>
    <x:xf numFmtId="0" fontId="19" fillId="15" borderId="0" xfId="0" applyFont="1" applyFill="1" applyAlignment="1">
      <x:alignment vertical="center"/>
    </x:xf>
    <x:xf numFmtId="0" fontId="23" fillId="19" borderId="0" xfId="0" applyFont="1" applyFill="1"/>
    <x:xf numFmtId="0" fontId="24" fillId="18" borderId="0" xfId="0" applyFont="1" applyFill="1" applyAlignment="1">
      <x:alignment vertical="top" wrapText="1"/>
    </x:xf>
    <x:xf numFmtId="0" fontId="25" fillId="0" borderId="0" xfId="0" applyFont="1"/>
    <x:xf numFmtId="0" fontId="16" fillId="0" borderId="0" xfId="0" applyFont="1"/>
    <x:xf numFmtId="0" fontId="1" fillId="24" borderId="0" xfId="0" applyFont="1" applyFill="1" applyAlignment="1">
      <x:alignment vertical="center"/>
    </x:xf>
    <x:xf numFmtId="0" fontId="30" fillId="25" borderId="0" xfId="0" applyFont="1" applyFill="1"/>
    <x:xf numFmtId="0" fontId="32" fillId="24" borderId="0" xfId="0" applyFont="1" applyFill="1"/>
    <x:xf numFmtId="0" fontId="32" fillId="20" borderId="0" xfId="0" applyFont="1" applyFill="1"/>
    <x:xf numFmtId="0" fontId="29" fillId="29" borderId="0" xfId="0" applyFont="1" applyFill="1"/>
    <x:xf numFmtId="0" fontId="29" fillId="23" borderId="0" xfId="0" applyFont="1" applyFill="1"/>
    <x:xf numFmtId="0" fontId="48" fillId="40" borderId="0" xfId="0" applyFont="1" applyFill="1"/>
    <x:xf numFmtId="0" fontId="39" fillId="32" borderId="0" xfId="0" applyFont="1" applyFill="1"/>
    <x:xf numFmtId="0" fontId="3" fillId="33" borderId="0" xfId="0" applyFont="1" applyFill="1"/>
    <x:xf numFmtId="0" fontId="3" fillId="33" borderId="0" xfId="0" applyFont="1" applyFill="1" applyAlignment="1">
      <x:alignment horizontal="center"/>
    </x:xf>
    <x:xf numFmtId="0" fontId="3" fillId="34" borderId="0" xfId="0" applyFont="1" applyFill="1" applyAlignment="1">
      <x:alignment horizontal="center"/>
    </x:xf>
    <x:xf numFmtId="0" fontId="42" fillId="30" borderId="0" xfId="0" applyFont="1" applyFill="1" applyAlignment="1">
      <x:alignment vertical="center"/>
    </x:xf>
    <x:xf numFmtId="0" fontId="3" fillId="30" borderId="0" xfId="0" applyFont="1" applyFill="1"/>
    <x:xf numFmtId="0" fontId="41" fillId="38" borderId="0" xfId="0" applyFont="1" applyFill="1"/>
    <x:xf numFmtId="0" fontId="41" fillId="39" borderId="0" xfId="0" applyFont="1" applyFill="1"/>
    <x:xf numFmtId="0" fontId="1" fillId="30" borderId="0" xfId="0" applyFont="1" applyFill="1" applyAlignment="1">
      <x:alignment vertical="center"/>
    </x:xf>
    <x:xf numFmtId="0" fontId="49" fillId="30" borderId="0" xfId="0" applyFont="1" applyFill="1" applyAlignment="1">
      <x:alignment horizontal="left" vertical="center"/>
    </x:xf>
    <x:xf numFmtId="0" fontId="38" fillId="31" borderId="0" xfId="0" applyFont="1" applyFill="1"/>
    <x:xf numFmtId="0" fontId="41" fillId="0" borderId="0" xfId="0" applyFont="1"/>
    <x:xf numFmtId="0" fontId="51" fillId="14" borderId="0" xfId="0" applyFont="1" applyFill="1" applyAlignment="1">
      <x:alignment wrapText="1"/>
    </x:xf>
    <x:xf numFmtId="0" fontId="50" fillId="14" borderId="0" xfId="0" applyFont="1" applyFill="1" applyAlignment="1">
      <x:alignment wrapText="1"/>
    </x:xf>
  </x:cellXfs>
  <x:cellStyles count="1">
    <x:cellStyle name="Normal" xfId="0"/>
  </x:cellStyles>
  <x:dxfs count="27">
    <x:dxf>
      <x:font>
        <x:b/>
        <x:color rgb="FF8B4A06"/>
      </x:font>
      <x:fill>
        <x:patternFill>
          <x:bgColor rgb="FFFFCE78"/>
        </x:patternFill>
      </x:fill>
    </x:dxf>
    <x:dxf>
      <x:font>
        <x:b/>
        <x:color rgb="FFFFFFFF"/>
      </x:font>
      <x:fill>
        <x:patternFill>
          <x:bgColor rgb="FF153B60"/>
        </x:patternFill>
      </x:fill>
    </x:dxf>
    <x:dxf>
      <x:font>
        <x:color rgb="FF905308"/>
      </x:font>
      <x:fill>
        <x:patternFill>
          <x:bgColor rgb="FFFFE3AF"/>
        </x:patternFill>
      </x:fill>
    </x:dxf>
    <x:dxf>
      <x:font>
        <x:color rgb="FF5B6D80"/>
      </x:font>
      <x:fill>
        <x:patternFill>
          <x:bgColor rgb="FFE6EDF5"/>
        </x:patternFill>
      </x:fill>
    </x:dxf>
    <x:dxf>
      <x:font>
        <x:color rgb="FFB32C34"/>
      </x:font>
      <x:fill>
        <x:patternFill>
          <x:bgColor rgb="FFFFD9D9"/>
        </x:patternFill>
      </x:fill>
    </x:dxf>
    <x:dxf>
      <x:font>
        <x:color rgb="FF145B95"/>
      </x:font>
      <x:fill>
        <x:patternFill>
          <x:bgColor rgb="FFCFE7FC"/>
        </x:patternFill>
      </x:fill>
    </x:dxf>
    <x:dxf>
      <x:font>
        <x:color rgb="FF08735D"/>
      </x:font>
      <x:fill>
        <x:patternFill>
          <x:bgColor rgb="FFC5EBDD"/>
        </x:patternFill>
      </x:fill>
    </x:dxf>
    <x:dxf>
      <x:font>
        <x:color rgb="FF64758A"/>
      </x:font>
      <x:fill>
        <x:patternFill>
          <x:bgColor rgb="FFCBD5DF"/>
        </x:patternFill>
      </x:fill>
    </x:dxf>
    <x:dxf>
      <x:font>
        <x:b/>
        <x:color rgb="FFAD2727"/>
      </x:font>
      <x:fill>
        <x:patternFill>
          <x:bgColor rgb="FFFFE1DE"/>
        </x:patternFill>
      </x:fill>
    </x:dxf>
    <x:dxf>
      <x:font>
        <x:b/>
        <x:color rgb="FF995C17"/>
      </x:font>
      <x:fill>
        <x:patternFill>
          <x:bgColor rgb="FFFFF0D6"/>
        </x:patternFill>
      </x:fill>
    </x:dxf>
    <x:dxf>
      <x:font>
        <x:b/>
        <x:color rgb="FF995A00"/>
      </x:font>
      <x:fill>
        <x:patternFill>
          <x:bgColor rgb="FFFFEBCD"/>
        </x:patternFill>
      </x:fill>
    </x:dxf>
    <x:dxf>
      <x:font>
        <x:b/>
        <x:color rgb="FFB22222"/>
      </x:font>
      <x:fill>
        <x:patternFill>
          <x:bgColor rgb="FFFDE2E2"/>
        </x:patternFill>
      </x:fill>
    </x:dxf>
    <x:dxf>
      <x:font>
        <x:b/>
        <x:color rgb="FF9B1C31"/>
      </x:font>
      <x:fill>
        <x:patternFill>
          <x:bgColor rgb="FFFCE4E5"/>
        </x:patternFill>
      </x:fill>
    </x:dxf>
    <x:dxf>
      <x:font>
        <x:b/>
        <x:color rgb="FF0D704B"/>
      </x:font>
      <x:fill>
        <x:patternFill>
          <x:bgColor rgb="FFD7F6E5"/>
        </x:patternFill>
      </x:fill>
    </x:dxf>
    <x:dxf>
      <x:font>
        <x:b/>
        <x:color rgb="FF9B1C31"/>
      </x:font>
    </x:dxf>
    <x:dxf>
      <x:font>
        <x:color rgb="FF9A2525"/>
      </x:font>
      <x:fill>
        <x:patternFill>
          <x:bgColor rgb="FFFBE8E6"/>
        </x:patternFill>
      </x:fill>
    </x:dxf>
    <x:dxf>
      <x:font>
        <x:color rgb="FF9A2525"/>
      </x:font>
      <x:fill>
        <x:patternFill>
          <x:bgColor rgb="FFFBE8E6"/>
        </x:patternFill>
      </x:fill>
    </x:dxf>
    <x:dxf>
      <x:font>
        <x:b/>
        <x:color rgb="FF9A5900"/>
      </x:font>
      <x:fill>
        <x:patternFill>
          <x:bgColor rgb="FFFFF0D1"/>
        </x:patternFill>
      </x:fill>
    </x:dxf>
    <x:dxf>
      <x:font>
        <x:b/>
        <x:color rgb="FFA32424"/>
      </x:font>
      <x:fill>
        <x:patternFill>
          <x:bgColor rgb="FFFDE2E2"/>
        </x:patternFill>
      </x:fill>
    </x:dxf>
    <x:dxf>
      <x:font>
        <x:color rgb="FF17603E"/>
      </x:font>
      <x:fill>
        <x:patternFill>
          <x:bgColor rgb="FFE3F3EA"/>
        </x:patternFill>
      </x:fill>
    </x:dxf>
    <x:dxf>
      <x:font>
        <x:color rgb="FFA86612"/>
      </x:font>
      <x:fill>
        <x:patternFill>
          <x:bgColor rgb="FFFFF1D6"/>
        </x:patternFill>
      </x:fill>
    </x:dxf>
    <x:dxf>
      <x:font>
        <x:color rgb="FF8B2426"/>
      </x:font>
      <x:fill>
        <x:patternFill>
          <x:bgColor rgb="FFFBE8E6"/>
        </x:patternFill>
      </x:fill>
    </x:dxf>
    <x:dxf>
      <x:fill>
        <x:patternFill>
          <x:bgColor rgb="FFDFF2E8"/>
        </x:patternFill>
      </x:fill>
    </x:dxf>
    <x:dxf>
      <x:fill>
        <x:patternFill>
          <x:bgColor rgb="FFFFF1D1"/>
        </x:patternFill>
      </x:fill>
    </x:dxf>
    <x:dxf>
      <x:fill>
        <x:patternFill>
          <x:bgColor rgb="FFFFF0CC"/>
        </x:patternFill>
      </x:fill>
    </x:dxf>
    <x:dxf>
      <x:fill>
        <x:patternFill>
          <x:bgColor rgb="FFFFE1E1"/>
        </x:patternFill>
      </x:fill>
    </x:dxf>
    <x:dxf>
      <x:fill>
        <x:patternFill>
          <x:bgColor rgb="FFFFE1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9c00cec0dc64231" /><Relationship Type="http://schemas.openxmlformats.org/officeDocument/2006/relationships/theme" Target="/xl/theme/theme1.xml" Id="Rf0ecf68e69fb4eed" /><Relationship Type="http://schemas.openxmlformats.org/officeDocument/2006/relationships/sharedStrings" Target="/xl/sharedStrings.xml" Id="R4ae7347a73bd4f4a" /><Relationship Type="http://schemas.openxmlformats.org/officeDocument/2006/relationships/worksheet" Target="/xl/worksheets/sheet1.xml" Id="R6464787e51484d22" /><Relationship Type="http://schemas.openxmlformats.org/officeDocument/2006/relationships/worksheet" Target="/xl/worksheets/sheet2.xml" Id="R9414657b5261416f" /><Relationship Type="http://schemas.openxmlformats.org/officeDocument/2006/relationships/worksheet" Target="/xl/worksheets/sheet3.xml" Id="R15275bff3a5a4888" /><Relationship Type="http://schemas.openxmlformats.org/officeDocument/2006/relationships/worksheet" Target="/xl/worksheets/sheet4.xml" Id="R48f8e07a73884b62" /><Relationship Type="http://schemas.openxmlformats.org/officeDocument/2006/relationships/worksheet" Target="/xl/worksheets/sheet5.xml" Id="Rbde2f2786e424cea" /><Relationship Type="http://schemas.openxmlformats.org/officeDocument/2006/relationships/worksheet" Target="/xl/worksheets/sheet6.xml" Id="R751e0db056314736" /><Relationship Type="http://schemas.openxmlformats.org/officeDocument/2006/relationships/worksheet" Target="/xl/worksheets/sheet7.xml" Id="R9d24cd2a576046a2" /><Relationship Type="http://schemas.openxmlformats.org/officeDocument/2006/relationships/worksheet" Target="/xl/worksheets/sheet8.xml" Id="Rd9046c2cb8574831" /><Relationship Type="http://schemas.openxmlformats.org/officeDocument/2006/relationships/worksheet" Target="/xl/worksheets/sheet9.xml" Id="Rade916edddba44a2" /><Relationship Type="http://schemas.openxmlformats.org/officeDocument/2006/relationships/worksheet" Target="/xl/worksheets/sheet10.xml" Id="R42fc4a22682f4c51" /><Relationship Type="http://schemas.openxmlformats.org/officeDocument/2006/relationships/worksheet" Target="/xl/worksheets/sheet11.xml" Id="R54ec59be5dbd42ef" /></Relationships>
</file>

<file path=xl/drawings/_rels/drawing1.xml.rels>&#65279;<?xml version="1.0" encoding="utf-8"?><Relationships xmlns="http://schemas.openxmlformats.org/package/2006/relationships"><Relationship Type="http://schemas.openxmlformats.org/officeDocument/2006/relationships/chart" Target="/xl/drawings/charts/chart1.xml" Id="Rd38537abfca94f48"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Task breakdown</a:t>
            </a:r>
          </a:p>
        </c:rich>
      </c:tx>
      <c:overlay val="0"/>
    </c:title>
    <c:autoTitleDeleted val="0"/>
    <c:plotArea>
      <c:barChart>
        <c:barDir val="col"/>
        <c:grouping val="clustered"/>
        <c:varyColors val="0"/>
        <c:ser>
          <c:idx val="0"/>
          <c:order val="0"/>
          <c:tx>
            <c:v>Tasks</c:v>
          </c:tx>
          <c:cat>
            <c:strRef>
              <c:f>'Delivery Dashboard'!$H$24:$H$27</c:f>
              <c:strCache>
                <c:ptCount val="4"/>
                <c:pt idx="0">
                  <c:v>Complete</c:v>
                </c:pt>
                <c:pt idx="1">
                  <c:v>In progress</c:v>
                </c:pt>
                <c:pt idx="2">
                  <c:v>Blocked</c:v>
                </c:pt>
                <c:pt idx="3">
                  <c:v>Not started</c:v>
                </c:pt>
              </c:strCache>
            </c:strRef>
          </c:cat>
          <c:val>
            <c:numRef>
              <c:f>'Delivery Dashboard'!$I$24:$I$27</c:f>
              <c:numCache>
                <c:formatCode>General</c:formatCode>
                <c:ptCount val="4"/>
                <c:pt idx="0">
                  <c:v>3</c:v>
                </c:pt>
                <c:pt idx="1">
                  <c:v>1</c:v>
                </c:pt>
                <c:pt idx="2">
                  <c:v>1</c:v>
                </c:pt>
                <c:pt idx="3">
                  <c:v>7</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38</xdr:row>
      <xdr:rowOff>0</xdr:rowOff>
    </xdr:from>
    <xdr:to>
      <xdr:col>13</xdr:col>
      <xdr:colOff>0</xdr:colOff>
      <xdr:row>52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8537abfca94f4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&#65279;<?xml version="1.0" encoding="utf-8"?><Relationships xmlns="http://schemas.openxmlformats.org/package/2006/relationships"><Relationship Type="http://schemas.openxmlformats.org/officeDocument/2006/relationships/drawing" Target="/xl/drawings/drawing1.xml" Id="Rad98a980848e4cf5" /></Relationships>
</file>

<file path=xl/worksheets/sheet1.xml><?xml version="1.0" encoding="utf-8"?>
<x:worksheet xmlns:x="http://schemas.openxmlformats.org/spreadsheetml/2006/main">
  <x:sheetFormatPr defaultRowHeight="14.25"/>
  <x:cols>
    <x:col min="1" max="1" width="20" customWidth="1"/>
    <x:col min="2" max="8" width="17" customWidth="1"/>
  </x:cols>
  <x:sheetData>
    <x:row r="1" ht="23.100000381469727" customHeight="1">
      <x:c r="A1" s="67" t="s">
        <x:v>0</x:v>
      </x:c>
      <x:c r="B1" s="67"/>
      <x:c r="C1" s="67"/>
      <x:c r="D1" s="67"/>
      <x:c r="E1" s="67"/>
      <x:c r="F1" s="67"/>
      <x:c r="G1" s="67"/>
      <x:c r="H1" s="67"/>
    </x:row>
    <x:row r="2" ht="23.100000381469727" customHeight="1">
      <x:c r="A2" s="67"/>
      <x:c r="B2" s="67"/>
      <x:c r="C2" s="67"/>
      <x:c r="D2" s="67"/>
      <x:c r="E2" s="67"/>
      <x:c r="F2" s="67"/>
      <x:c r="G2" s="67"/>
      <x:c r="H2" s="67"/>
    </x:row>
    <x:row r="3" ht="23.100000381469727" customHeight="1">
      <x:c r="A3" s="68" t="s">
        <x:v>1</x:v>
      </x:c>
      <x:c r="B3" s="68"/>
      <x:c r="C3" s="68"/>
      <x:c r="D3" s="68"/>
      <x:c r="E3" s="68"/>
      <x:c r="F3" s="68"/>
      <x:c r="G3" s="68"/>
      <x:c r="H3" s="68"/>
    </x:row>
    <x:row r="4">
      <x:c r="A4" s="1"/>
      <x:c r="B4" s="1"/>
      <x:c r="C4" s="1"/>
      <x:c r="D4" s="1"/>
      <x:c r="E4" s="1"/>
      <x:c r="F4" s="1"/>
      <x:c r="G4" s="1"/>
      <x:c r="H4" s="1"/>
    </x:row>
    <x:row r="5">
      <x:c r="A5" s="1" t="s">
        <x:v>2</x:v>
      </x:c>
      <x:c r="B5" s="2">
        <x:v>46336</x:v>
      </x:c>
      <x:c r="C5" s="1"/>
      <x:c r="D5" s="1"/>
      <x:c r="E5" s="1"/>
      <x:c r="F5" s="1"/>
      <x:c r="G5" s="1"/>
      <x:c r="H5" s="1"/>
    </x:row>
    <x:row r="6">
      <x:c r="A6" s="1"/>
      <x:c r="B6" s="1"/>
      <x:c r="C6" s="1"/>
      <x:c r="D6" s="1"/>
      <x:c r="E6" s="1"/>
      <x:c r="F6" s="1"/>
      <x:c r="G6" s="1"/>
      <x:c r="H6" s="1"/>
    </x:row>
    <x:row r="7" ht="24.950000762939453" customHeight="1">
      <x:c r="A7" s="69" t="s">
        <x:v>3</x:v>
      </x:c>
      <x:c r="B7" s="69"/>
      <x:c r="C7" s="69"/>
      <x:c r="D7" s="69"/>
      <x:c r="E7" s="69"/>
      <x:c r="F7" s="69"/>
      <x:c r="G7" s="69"/>
      <x:c r="H7" s="69"/>
    </x:row>
    <x:row r="8" ht="33.95000076293945" customHeight="1">
      <x:c r="A8" s="4" t="s">
        <x:v>4</x:v>
      </x:c>
      <x:c r="B8" s="70" t="s">
        <x:v>5</x:v>
      </x:c>
      <x:c r="C8" s="70"/>
      <x:c r="D8" s="70"/>
      <x:c r="E8" s="70"/>
      <x:c r="F8" s="70"/>
      <x:c r="G8" s="70"/>
      <x:c r="H8" s="70"/>
    </x:row>
    <x:row r="9" ht="33.95000076293945" customHeight="1">
      <x:c r="A9" s="4" t="s">
        <x:v>6</x:v>
      </x:c>
      <x:c r="B9" s="70" t="s">
        <x:v>7</x:v>
      </x:c>
      <x:c r="C9" s="70"/>
      <x:c r="D9" s="70"/>
      <x:c r="E9" s="70"/>
      <x:c r="F9" s="70"/>
      <x:c r="G9" s="70"/>
      <x:c r="H9" s="70"/>
    </x:row>
    <x:row r="10" ht="33.95000076293945" customHeight="1">
      <x:c r="A10" s="4" t="s">
        <x:v>8</x:v>
      </x:c>
      <x:c r="B10" s="70" t="s">
        <x:v>9</x:v>
      </x:c>
      <x:c r="C10" s="70"/>
      <x:c r="D10" s="70"/>
      <x:c r="E10" s="70"/>
      <x:c r="F10" s="70"/>
      <x:c r="G10" s="70"/>
      <x:c r="H10" s="70"/>
    </x:row>
    <x:row r="11" ht="33.95000076293945" customHeight="1">
      <x:c r="A11" s="4" t="s">
        <x:v>10</x:v>
      </x:c>
      <x:c r="B11" s="70" t="s">
        <x:v>11</x:v>
      </x:c>
      <x:c r="C11" s="70"/>
      <x:c r="D11" s="70"/>
      <x:c r="E11" s="70"/>
      <x:c r="F11" s="70"/>
      <x:c r="G11" s="70"/>
      <x:c r="H11" s="70"/>
    </x:row>
    <x:row r="12" ht="33.95000076293945" customHeight="1">
      <x:c r="A12" s="4" t="s">
        <x:v>12</x:v>
      </x:c>
      <x:c r="B12" s="70" t="s">
        <x:v>13</x:v>
      </x:c>
      <x:c r="C12" s="70"/>
      <x:c r="D12" s="70"/>
      <x:c r="E12" s="70"/>
      <x:c r="F12" s="70"/>
      <x:c r="G12" s="70"/>
      <x:c r="H12" s="70"/>
    </x:row>
    <x:row r="13" ht="33.95000076293945" customHeight="1">
      <x:c r="A13" s="4" t="s">
        <x:v>14</x:v>
      </x:c>
      <x:c r="B13" s="70" t="s">
        <x:v>15</x:v>
      </x:c>
      <x:c r="C13" s="70"/>
      <x:c r="D13" s="70"/>
      <x:c r="E13" s="70"/>
      <x:c r="F13" s="70"/>
      <x:c r="G13" s="70"/>
      <x:c r="H13" s="70"/>
    </x:row>
    <x:row r="14">
      <x:c r="A14" s="1"/>
      <x:c r="B14" s="1"/>
      <x:c r="C14" s="1"/>
      <x:c r="D14" s="1"/>
      <x:c r="E14" s="1"/>
      <x:c r="F14" s="1"/>
      <x:c r="G14" s="1"/>
      <x:c r="H14" s="1"/>
    </x:row>
    <x:row r="15" ht="26.100000381469727" customHeight="1">
      <x:c r="A15" s="69" t="s">
        <x:v>16</x:v>
      </x:c>
      <x:c r="B15" s="69"/>
      <x:c r="C15" s="69"/>
      <x:c r="D15" s="69"/>
      <x:c r="E15" s="69"/>
      <x:c r="F15" s="69"/>
      <x:c r="G15" s="69"/>
      <x:c r="H15" s="69"/>
    </x:row>
    <x:row r="16">
      <x:c r="A16" s="1"/>
      <x:c r="B16" s="1"/>
      <x:c r="C16" s="1"/>
      <x:c r="D16" s="1"/>
      <x:c r="E16" s="1"/>
      <x:c r="F16" s="1"/>
      <x:c r="G16" s="1"/>
      <x:c r="H16" s="1"/>
    </x:row>
    <x:row r="17" ht="24" customHeight="1">
      <x:c r="A17" s="71" t="s">
        <x:v>17</x:v>
      </x:c>
      <x:c r="B17" s="71"/>
      <x:c r="C17" s="71" t="s">
        <x:v>18</x:v>
      </x:c>
      <x:c r="D17" s="71"/>
      <x:c r="E17" s="71" t="s">
        <x:v>19</x:v>
      </x:c>
      <x:c r="F17" s="71"/>
      <x:c r="G17" s="71" t="s">
        <x:v>20</x:v>
      </x:c>
      <x:c r="H17" s="71"/>
    </x:row>
    <x:row r="18" ht="24.950000762939453" customHeight="1">
      <x:c r="A18" s="72" t="n">
        <x:f>COUNTIF('Project Tracker'!F6:F17,"Complete")</x:f>
        <x:v>3</x:v>
      </x:c>
      <x:c r="B18" s="72"/>
      <x:c r="C18" s="72" t="n">
        <x:f>COUNTIF('Project Tracker'!H6:H17,"Overdue")+COUNTIF('Project Tracker'!H6:H17,"Blocked")+COUNTIF('Project Tracker'!H6:H17,"At risk")+COUNTIF('Project Tracker'!H6:H17,"Due soon")</x:f>
        <x:v>5</x:v>
      </x:c>
      <x:c r="D18" s="72"/>
      <x:c r="E18" s="73" t="n">
        <x:f>Budget!H12</x:f>
        <x:v>11670</x:v>
      </x:c>
      <x:c r="F18" s="72"/>
      <x:c r="G18" s="74" t="n">
        <x:f>Budget!I12</x:f>
        <x:v>1780</x:v>
      </x:c>
      <x:c r="H18" s="72"/>
    </x:row>
    <x:row r="19" ht="24.950000762939453" customHeight="1">
      <x:c r="A19" s="72"/>
      <x:c r="B19" s="72"/>
      <x:c r="C19" s="72"/>
      <x:c r="D19" s="72"/>
      <x:c r="E19" s="72"/>
      <x:c r="F19" s="72"/>
      <x:c r="G19" s="72"/>
      <x:c r="H19" s="72"/>
    </x:row>
    <x:row r="20" ht="24.950000762939453" customHeight="1">
      <x:c r="A20" s="72"/>
      <x:c r="B20" s="72"/>
      <x:c r="C20" s="72"/>
      <x:c r="D20" s="72"/>
      <x:c r="E20" s="72"/>
      <x:c r="F20" s="72"/>
      <x:c r="G20" s="72"/>
      <x:c r="H20" s="72"/>
    </x:row>
    <x:row r="21">
      <x:c r="A21" s="1"/>
      <x:c r="B21" s="1"/>
      <x:c r="C21" s="1"/>
      <x:c r="D21" s="1"/>
      <x:c r="E21" s="1"/>
      <x:c r="F21" s="1"/>
      <x:c r="G21" s="1"/>
      <x:c r="H21" s="1"/>
    </x:row>
    <x:row r="22">
      <x:c r="A22" s="1"/>
      <x:c r="B22" s="1"/>
      <x:c r="C22" s="1"/>
      <x:c r="D22" s="1"/>
      <x:c r="E22" s="1"/>
      <x:c r="F22" s="1"/>
      <x:c r="G22" s="1"/>
      <x:c r="H22" s="1"/>
    </x:row>
    <x:row r="23" ht="15">
      <x:c r="A23" s="69" t="str">
        <x:v>DELIVERY DECISION / RECOMMENDATION</x:v>
      </x:c>
      <x:c r="B23" s="69"/>
      <x:c r="C23" s="69"/>
      <x:c r="D23" s="69"/>
      <x:c r="E23" s="69"/>
      <x:c r="F23" s="69"/>
      <x:c r="G23" s="69"/>
      <x:c r="H23" s="69"/>
    </x:row>
    <x:row r="24" ht="30" customHeight="1">
      <x:c r="A24" s="75" t="s">
        <x:v>21</x:v>
      </x:c>
      <x:c r="B24" s="75"/>
      <x:c r="C24" s="75"/>
      <x:c r="D24" s="75"/>
      <x:c r="E24" s="75"/>
      <x:c r="F24" s="75"/>
      <x:c r="G24" s="75"/>
      <x:c r="H24" s="75"/>
    </x:row>
    <x:row r="25" ht="30" customHeight="1">
      <x:c r="A25" s="76" t="s">
        <x:v>22</x:v>
      </x:c>
      <x:c r="B25" s="76"/>
      <x:c r="C25" s="76"/>
      <x:c r="D25" s="76"/>
      <x:c r="E25" s="76"/>
      <x:c r="F25" s="76"/>
      <x:c r="G25" s="76"/>
      <x:c r="H25" s="76"/>
    </x:row>
    <x:row r="26" ht="30" customHeight="1">
      <x:c r="A26" s="75" t="s">
        <x:v>23</x:v>
      </x:c>
      <x:c r="B26" s="75"/>
      <x:c r="C26" s="75"/>
      <x:c r="D26" s="75"/>
      <x:c r="E26" s="75"/>
      <x:c r="F26" s="75"/>
      <x:c r="G26" s="75"/>
      <x:c r="H26" s="75"/>
    </x:row>
    <x:row r="27" ht="30" customHeight="1">
      <x:c r="A27" s="76" t="s">
        <x:v>24</x:v>
      </x:c>
      <x:c r="B27" s="76"/>
      <x:c r="C27" s="76"/>
      <x:c r="D27" s="76"/>
      <x:c r="E27" s="76"/>
      <x:c r="F27" s="76"/>
      <x:c r="G27" s="76"/>
      <x:c r="H27" s="76"/>
    </x:row>
    <x:row r="28" ht="30" customHeight="1">
      <x:c r="A28" s="75" t="s">
        <x:v>25</x:v>
      </x:c>
      <x:c r="B28" s="75"/>
      <x:c r="C28" s="75"/>
      <x:c r="D28" s="75"/>
      <x:c r="E28" s="75"/>
      <x:c r="F28" s="75"/>
      <x:c r="G28" s="75"/>
      <x:c r="H28" s="75"/>
    </x:row>
    <x:row r="29" ht="32.099998474121094" customHeight="1">
      <x:c r="A29" s="78" t="s">
        <x:v>26</x:v>
      </x:c>
      <x:c r="B29" s="78"/>
      <x:c r="C29" s="78"/>
      <x:c r="D29" s="78"/>
      <x:c r="E29" s="78"/>
      <x:c r="F29" s="78"/>
      <x:c r="G29" s="78"/>
      <x:c r="H29" s="1"/>
    </x:row>
    <x:row r="30">
      <x:c r="A30" s="1"/>
      <x:c r="B30" s="1"/>
      <x:c r="C30" s="1"/>
      <x:c r="D30" s="1"/>
      <x:c r="E30" s="1"/>
      <x:c r="F30" s="1"/>
      <x:c r="G30" s="1"/>
      <x:c r="H30" s="1"/>
    </x:row>
    <x:row r="31" ht="33.95000076293945" customHeight="1">
      <x:c r="A31" s="77" t="s">
        <x:v>27</x:v>
      </x:c>
      <x:c r="B31" s="77"/>
      <x:c r="C31" s="77"/>
      <x:c r="D31" s="77"/>
      <x:c r="E31" s="77"/>
      <x:c r="F31" s="77"/>
      <x:c r="G31" s="77"/>
      <x:c r="H31" s="77"/>
    </x:row>
    <x:row r="32">
      <x:c r="A32" s="1"/>
      <x:c r="B32" s="1"/>
      <x:c r="C32" s="1"/>
      <x:c r="D32" s="1"/>
      <x:c r="E32" s="1"/>
      <x:c r="F32" s="1"/>
      <x:c r="G32" s="1"/>
      <x:c r="H32" s="1"/>
    </x:row>
    <x:row r="33">
      <x:c r="A33" s="1"/>
      <x:c r="B33" s="1"/>
      <x:c r="C33" s="1"/>
      <x:c r="D33" s="1"/>
      <x:c r="E33" s="1"/>
      <x:c r="F33" s="1"/>
      <x:c r="G33" s="1"/>
      <x:c r="H33" s="1"/>
    </x:row>
    <x:row r="34">
      <x:c r="A34" s="1"/>
      <x:c r="B34" s="1"/>
      <x:c r="C34" s="1"/>
      <x:c r="D34" s="1"/>
      <x:c r="E34" s="1"/>
      <x:c r="F34" s="1"/>
      <x:c r="G34" s="1"/>
      <x:c r="H34" s="1"/>
    </x:row>
    <x:row r="35">
      <x:c r="A35" s="1"/>
      <x:c r="B35" s="1"/>
      <x:c r="C35" s="1"/>
      <x:c r="D35" s="1"/>
      <x:c r="E35" s="1"/>
      <x:c r="F35" s="1"/>
      <x:c r="G35" s="1"/>
      <x:c r="H35" s="1"/>
    </x:row>
  </x:sheetData>
  <x:mergeCells>
    <x:mergeCell ref="A28:H28"/>
    <x:mergeCell ref="A31:H31"/>
    <x:mergeCell ref="A29:G29"/>
    <x:mergeCell ref="A23:H23"/>
    <x:mergeCell ref="A24:H24"/>
    <x:mergeCell ref="A25:H25"/>
    <x:mergeCell ref="A26:H26"/>
    <x:mergeCell ref="A27:H27"/>
    <x:mergeCell ref="A17:B17"/>
    <x:mergeCell ref="C17:D17"/>
    <x:mergeCell ref="E17:F17"/>
    <x:mergeCell ref="G17:H17"/>
    <x:mergeCell ref="A18:B20"/>
    <x:mergeCell ref="C18:D20"/>
    <x:mergeCell ref="E18:F20"/>
    <x:mergeCell ref="G18:H20"/>
    <x:mergeCell ref="B10:H10"/>
    <x:mergeCell ref="B11:H11"/>
    <x:mergeCell ref="B12:H12"/>
    <x:mergeCell ref="B13:H13"/>
    <x:mergeCell ref="A15:H15"/>
    <x:mergeCell ref="A1:H2"/>
    <x:mergeCell ref="A3:H3"/>
    <x:mergeCell ref="A7:H7"/>
    <x:mergeCell ref="B8:H8"/>
    <x:mergeCell ref="B9:H9"/>
  </x:mergeCells>
  <x:pageMargins left="0.7" right="0.7" top="0.75" bottom="0.75" header="0.3" footer="0.3"/>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4.25"/>
  <x:cols>
    <x:col min="1" max="1" width="9" customWidth="1"/>
    <x:col min="2" max="2" width="31" customWidth="1"/>
    <x:col min="3" max="3" width="14" customWidth="1"/>
    <x:col min="4" max="5" width="17" customWidth="1"/>
    <x:col min="6" max="8" width="14" customWidth="1"/>
    <x:col min="9" max="9" width="38" customWidth="1"/>
    <x:col min="10" max="10" width="13" customWidth="1"/>
    <x:col min="11" max="11" width="14" customWidth="1"/>
    <x:col min="12" max="12" width="31" customWidth="1"/>
  </x:cols>
  <x:sheetData>
    <x:row r="1" ht="23.100000381469727" customHeight="1">
      <x:c r="A1" s="67" t="s">
        <x:v>28</x:v>
      </x:c>
      <x:c r="B1" s="67"/>
      <x:c r="C1" s="67"/>
      <x:c r="D1" s="67"/>
      <x:c r="E1" s="67"/>
      <x:c r="F1" s="67"/>
      <x:c r="G1" s="67"/>
      <x:c r="H1" s="67"/>
      <x:c r="I1" s="67"/>
    </x:row>
    <x:row r="2" ht="23.100000381469727" customHeight="1">
      <x:c r="A2" s="67"/>
      <x:c r="B2" s="67"/>
      <x:c r="C2" s="67"/>
      <x:c r="D2" s="67"/>
      <x:c r="E2" s="67"/>
      <x:c r="F2" s="67"/>
      <x:c r="G2" s="67"/>
      <x:c r="H2" s="67"/>
      <x:c r="I2" s="67"/>
    </x:row>
    <x:row r="3" ht="23.100000381469727" customHeight="1">
      <x:c r="A3" s="68" t="s">
        <x:v>29</x:v>
      </x:c>
      <x:c r="B3" s="68"/>
      <x:c r="C3" s="68"/>
      <x:c r="D3" s="68"/>
      <x:c r="E3" s="68"/>
      <x:c r="F3" s="68"/>
      <x:c r="G3" s="68"/>
      <x:c r="H3" s="68"/>
      <x:c r="I3" s="68"/>
    </x:row>
    <x:row r="4">
      <x:c r="A4" s="1"/>
      <x:c r="B4" s="1"/>
      <x:c r="C4" s="1"/>
      <x:c r="D4" s="1"/>
      <x:c r="E4" s="1"/>
      <x:c r="F4" s="1"/>
      <x:c r="G4" s="1"/>
      <x:c r="H4" s="1"/>
      <x:c r="I4" s="1"/>
    </x:row>
    <x:row r="5" ht="29.100000381469727" customHeight="1">
      <x:c r="A5" s="5" t="s">
        <x:v>30</x:v>
      </x:c>
      <x:c r="B5" s="5" t="s">
        <x:v>31</x:v>
      </x:c>
      <x:c r="C5" s="5" t="s">
        <x:v>32</x:v>
      </x:c>
      <x:c r="D5" s="5" t="s">
        <x:v>33</x:v>
      </x:c>
      <x:c r="E5" s="5" t="s">
        <x:v>34</x:v>
      </x:c>
      <x:c r="F5" s="5" t="s">
        <x:v>35</x:v>
      </x:c>
      <x:c r="G5" s="5" t="s">
        <x:v>36</x:v>
      </x:c>
      <x:c r="H5" s="5" t="s">
        <x:v>37</x:v>
      </x:c>
      <x:c r="I5" s="5" t="s">
        <x:v>38</x:v>
      </x:c>
      <x:c r="J5" s="32" t="s">
        <x:v>39</x:v>
      </x:c>
      <x:c r="K5" s="32" t="s">
        <x:v>40</x:v>
      </x:c>
      <x:c r="L5" s="32" t="s">
        <x:v>41</x:v>
      </x:c>
    </x:row>
    <x:row r="6" ht="30" customHeight="1">
      <x:c r="A6" s="3" t="s">
        <x:v>42</x:v>
      </x:c>
      <x:c r="B6" s="3" t="s">
        <x:v>43</x:v>
      </x:c>
      <x:c r="C6" s="3" t="s">
        <x:v>44</x:v>
      </x:c>
      <x:c r="D6" s="6">
        <x:v>46328</x:v>
      </x:c>
      <x:c r="E6" s="35">
        <x:v>46328</x:v>
      </x:c>
      <x:c r="F6" s="36" t="s">
        <x:v>45</x:v>
      </x:c>
      <x:c r="G6" s="3" t="s">
        <x:v>46</x:v>
      </x:c>
      <x:c r="H6" s="3" t="str">
        <x:f>IF(A6="","",IF(F6="Complete","Complete",IF(F6="Blocked","Blocked",IF(E6&lt;Overview!$B$5,"Overdue",IF(AND(E6&gt;Overview!$B$5+3,K6&gt;=3),"At risk",IF(E6&lt;=Overview!$B$5+3,"Due soon","On track"))))))</x:f>
        <x:v>Complete</x:v>
      </x:c>
      <x:c r="I6" s="3" t="s">
        <x:v>47</x:v>
      </x:c>
      <x:c r="J6" s="34" t="str">
        <x:f>IF(OR(A6="",E6="",F6="Complete"),"",E6-Overview!$B$5)</x:f>
      </x:c>
      <x:c r="K6" s="34" t="n">
        <x:f t="shared" ref="K6:K17" si="0">IF(OR(A6="",D6="",E6=""),"",E6-D6)</x:f>
        <x:v>0</x:v>
      </x:c>
      <x:c r="L6" s="33" t="str">
        <x:f t="shared" ref="L6:L17" si="1">IF(A6="","",IF(F6="Complete","Closed",IF(H6="Blocked","Resolve dependency",IF(H6="Overdue","Escalate overdue",IF(H6="At risk","Recheck capacity / plan",IF(H6="Due soon","Confirm next step","Monitor"))))))</x:f>
        <x:v>Closed</x:v>
      </x:c>
    </x:row>
    <x:row r="7" ht="30" customHeight="1">
      <x:c r="A7" s="3" t="s">
        <x:v>48</x:v>
      </x:c>
      <x:c r="B7" s="3" t="s">
        <x:v>49</x:v>
      </x:c>
      <x:c r="C7" s="3" t="s">
        <x:v>44</x:v>
      </x:c>
      <x:c r="D7" s="6">
        <x:v>46329</x:v>
      </x:c>
      <x:c r="E7" s="35">
        <x:v>46329</x:v>
      </x:c>
      <x:c r="F7" s="36" t="s">
        <x:v>45</x:v>
      </x:c>
      <x:c r="G7" s="3" t="s">
        <x:v>50</x:v>
      </x:c>
      <x:c r="H7" s="3" t="str">
        <x:f>IF(A7="","",IF(F7="Complete","Complete",IF(F7="Blocked","Blocked",IF(E7&lt;Overview!$B$5,"Overdue",IF(AND(E7&gt;Overview!$B$5+3,K7&gt;=3),"At risk",IF(E7&lt;=Overview!$B$5+3,"Due soon","On track"))))))</x:f>
        <x:v>Complete</x:v>
      </x:c>
      <x:c r="I7" s="3" t="s">
        <x:v>51</x:v>
      </x:c>
      <x:c r="J7" s="34" t="str">
        <x:f>IF(OR(A7="",E7="",F7="Complete"),"",E7-Overview!$B$5)</x:f>
      </x:c>
      <x:c r="K7" s="34">
        <x:f t="shared" si="0"/>
        <x:v>0</x:v>
      </x:c>
      <x:c r="L7" s="33" t="str">
        <x:f t="shared" si="1"/>
        <x:v>Closed</x:v>
      </x:c>
    </x:row>
    <x:row r="8" ht="30" customHeight="1">
      <x:c r="A8" s="3" t="s">
        <x:v>52</x:v>
      </x:c>
      <x:c r="B8" s="3" t="s">
        <x:v>53</x:v>
      </x:c>
      <x:c r="C8" s="3" t="s">
        <x:v>54</x:v>
      </x:c>
      <x:c r="D8" s="6">
        <x:v>46331</x:v>
      </x:c>
      <x:c r="E8" s="35">
        <x:v>46331</x:v>
      </x:c>
      <x:c r="F8" s="36" t="s">
        <x:v>45</x:v>
      </x:c>
      <x:c r="G8" s="3" t="s">
        <x:v>55</x:v>
      </x:c>
      <x:c r="H8" s="3" t="str">
        <x:f>IF(A8="","",IF(F8="Complete","Complete",IF(F8="Blocked","Blocked",IF(E8&lt;Overview!$B$5,"Overdue",IF(AND(E8&gt;Overview!$B$5+3,K8&gt;=3),"At risk",IF(E8&lt;=Overview!$B$5+3,"Due soon","On track"))))))</x:f>
        <x:v>Complete</x:v>
      </x:c>
      <x:c r="I8" s="3" t="s">
        <x:v>56</x:v>
      </x:c>
      <x:c r="J8" s="34" t="str">
        <x:f>IF(OR(A8="",E8="",F8="Complete"),"",E8-Overview!$B$5)</x:f>
      </x:c>
      <x:c r="K8" s="34">
        <x:f t="shared" si="0"/>
        <x:v>0</x:v>
      </x:c>
      <x:c r="L8" s="33" t="str">
        <x:f t="shared" si="1"/>
        <x:v>Closed</x:v>
      </x:c>
    </x:row>
    <x:row r="9" ht="30" customHeight="1">
      <x:c r="A9" s="3" t="s">
        <x:v>57</x:v>
      </x:c>
      <x:c r="B9" s="3" t="s">
        <x:v>58</x:v>
      </x:c>
      <x:c r="C9" s="3" t="s">
        <x:v>54</x:v>
      </x:c>
      <x:c r="D9" s="6">
        <x:v>46335</x:v>
      </x:c>
      <x:c r="E9" s="35">
        <x:v>46338</x:v>
      </x:c>
      <x:c r="F9" s="36" t="s">
        <x:v>59</x:v>
      </x:c>
      <x:c r="G9" s="3" t="s">
        <x:v>55</x:v>
      </x:c>
      <x:c r="H9" s="3" t="str">
        <x:f>IF(A9="","",IF(F9="Complete","Complete",IF(F9="Blocked","Blocked",IF(E9&lt;Overview!$B$5,"Overdue",IF(AND(E9&gt;Overview!$B$5+3,K9&gt;=3),"At risk",IF(E9&lt;=Overview!$B$5+3,"Due soon","On track"))))))</x:f>
        <x:v>Due soon</x:v>
      </x:c>
      <x:c r="I9" s="3" t="s">
        <x:v>60</x:v>
      </x:c>
      <x:c r="J9" s="34" t="n">
        <x:f>IF(OR(A9="",E9="",F9="Complete"),"",E9-Overview!$B$5)</x:f>
        <x:v>2</x:v>
      </x:c>
      <x:c r="K9" s="34">
        <x:f t="shared" si="0"/>
        <x:v>3</x:v>
      </x:c>
      <x:c r="L9" s="33" t="str">
        <x:f t="shared" si="1"/>
        <x:v>Confirm next step</x:v>
      </x:c>
    </x:row>
    <x:row r="10" ht="30" customHeight="1">
      <x:c r="A10" s="3" t="s">
        <x:v>61</x:v>
      </x:c>
      <x:c r="B10" s="3" t="s">
        <x:v>62</x:v>
      </x:c>
      <x:c r="C10" s="3" t="s">
        <x:v>63</x:v>
      </x:c>
      <x:c r="D10" s="6">
        <x:v>46337</x:v>
      </x:c>
      <x:c r="E10" s="35">
        <x:v>46340</x:v>
      </x:c>
      <x:c r="F10" s="36" t="s">
        <x:v>64</x:v>
      </x:c>
      <x:c r="G10" s="3" t="s">
        <x:v>65</x:v>
      </x:c>
      <x:c r="H10" s="3" t="str">
        <x:f>IF(A10="","",IF(F10="Complete","Complete",IF(F10="Blocked","Blocked",IF(E10&lt;Overview!$B$5,"Overdue",IF(AND(E10&gt;Overview!$B$5+3,K10&gt;=3),"At risk",IF(E10&lt;=Overview!$B$5+3,"Due soon","On track"))))))</x:f>
        <x:v>Blocked</x:v>
      </x:c>
      <x:c r="I10" s="3" t="s">
        <x:v>66</x:v>
      </x:c>
      <x:c r="J10" s="34" t="n">
        <x:f>IF(OR(A10="",E10="",F10="Complete"),"",E10-Overview!$B$5)</x:f>
        <x:v>4</x:v>
      </x:c>
      <x:c r="K10" s="34">
        <x:f t="shared" si="0"/>
        <x:v>3</x:v>
      </x:c>
      <x:c r="L10" s="33" t="str">
        <x:f t="shared" si="1"/>
        <x:v>Resolve dependency</x:v>
      </x:c>
    </x:row>
    <x:row r="11" ht="30" customHeight="1">
      <x:c r="A11" s="3" t="s">
        <x:v>67</x:v>
      </x:c>
      <x:c r="B11" s="3" t="s">
        <x:v>68</x:v>
      </x:c>
      <x:c r="C11" s="3" t="s">
        <x:v>69</x:v>
      </x:c>
      <x:c r="D11" s="6">
        <x:v>46339</x:v>
      </x:c>
      <x:c r="E11" s="35">
        <x:v>46345</x:v>
      </x:c>
      <x:c r="F11" s="36" t="s">
        <x:v>70</x:v>
      </x:c>
      <x:c r="G11" s="3" t="s">
        <x:v>71</x:v>
      </x:c>
      <x:c r="H11" s="3" t="str">
        <x:f>IF(A11="","",IF(F11="Complete","Complete",IF(F11="Blocked","Blocked",IF(E11&lt;Overview!$B$5,"Overdue",IF(AND(E11&gt;Overview!$B$5+3,K11&gt;=3),"At risk",IF(E11&lt;=Overview!$B$5+3,"Due soon","On track"))))))</x:f>
        <x:v>At risk</x:v>
      </x:c>
      <x:c r="I11" s="3" t="s">
        <x:v>72</x:v>
      </x:c>
      <x:c r="J11" s="34" t="n">
        <x:f>IF(OR(A11="",E11="",F11="Complete"),"",E11-Overview!$B$5)</x:f>
        <x:v>9</x:v>
      </x:c>
      <x:c r="K11" s="34">
        <x:f t="shared" si="0"/>
        <x:v>6</x:v>
      </x:c>
      <x:c r="L11" s="33" t="str">
        <x:f t="shared" si="1"/>
        <x:v>Recheck capacity / plan</x:v>
      </x:c>
    </x:row>
    <x:row r="12" ht="30" customHeight="1">
      <x:c r="A12" s="3" t="s">
        <x:v>73</x:v>
      </x:c>
      <x:c r="B12" s="3" t="s">
        <x:v>74</x:v>
      </x:c>
      <x:c r="C12" s="3" t="s">
        <x:v>4</x:v>
      </x:c>
      <x:c r="D12" s="6">
        <x:v>46343</x:v>
      </x:c>
      <x:c r="E12" s="35">
        <x:v>46347</x:v>
      </x:c>
      <x:c r="F12" s="36" t="s">
        <x:v>70</x:v>
      </x:c>
      <x:c r="G12" s="3" t="s">
        <x:v>50</x:v>
      </x:c>
      <x:c r="H12" s="3" t="str">
        <x:f>IF(A12="","",IF(F12="Complete","Complete",IF(F12="Blocked","Blocked",IF(E12&lt;Overview!$B$5,"Overdue",IF(AND(E12&gt;Overview!$B$5+3,K12&gt;=3),"At risk",IF(E12&lt;=Overview!$B$5+3,"Due soon","On track"))))))</x:f>
        <x:v>At risk</x:v>
      </x:c>
      <x:c r="I12" s="3" t="s">
        <x:v>75</x:v>
      </x:c>
      <x:c r="J12" s="34" t="n">
        <x:f>IF(OR(A12="",E12="",F12="Complete"),"",E12-Overview!$B$5)</x:f>
        <x:v>11</x:v>
      </x:c>
      <x:c r="K12" s="34">
        <x:f t="shared" si="0"/>
        <x:v>4</x:v>
      </x:c>
      <x:c r="L12" s="33" t="str">
        <x:f t="shared" si="1"/>
        <x:v>Recheck capacity / plan</x:v>
      </x:c>
    </x:row>
    <x:row r="13" ht="30" customHeight="1">
      <x:c r="A13" s="3" t="s">
        <x:v>76</x:v>
      </x:c>
      <x:c r="B13" s="3" t="s">
        <x:v>77</x:v>
      </x:c>
      <x:c r="C13" s="3" t="s">
        <x:v>63</x:v>
      </x:c>
      <x:c r="D13" s="6">
        <x:v>46346</x:v>
      </x:c>
      <x:c r="E13" s="35">
        <x:v>46349</x:v>
      </x:c>
      <x:c r="F13" s="36" t="s">
        <x:v>70</x:v>
      </x:c>
      <x:c r="G13" s="3" t="s">
        <x:v>50</x:v>
      </x:c>
      <x:c r="H13" s="3" t="str">
        <x:f>IF(A13="","",IF(F13="Complete","Complete",IF(F13="Blocked","Blocked",IF(E13&lt;Overview!$B$5,"Overdue",IF(AND(E13&gt;Overview!$B$5+3,K13&gt;=3),"At risk",IF(E13&lt;=Overview!$B$5+3,"Due soon","On track"))))))</x:f>
        <x:v>At risk</x:v>
      </x:c>
      <x:c r="I13" s="3" t="s">
        <x:v>78</x:v>
      </x:c>
      <x:c r="J13" s="34" t="n">
        <x:f>IF(OR(A13="",E13="",F13="Complete"),"",E13-Overview!$B$5)</x:f>
        <x:v>13</x:v>
      </x:c>
      <x:c r="K13" s="34">
        <x:f t="shared" si="0"/>
        <x:v>3</x:v>
      </x:c>
      <x:c r="L13" s="33" t="str">
        <x:f t="shared" si="1"/>
        <x:v>Recheck capacity / plan</x:v>
      </x:c>
    </x:row>
    <x:row r="14" ht="30" customHeight="1">
      <x:c r="A14" s="3" t="s">
        <x:v>79</x:v>
      </x:c>
      <x:c r="B14" s="3" t="s">
        <x:v>80</x:v>
      </x:c>
      <x:c r="C14" s="3" t="s">
        <x:v>81</x:v>
      </x:c>
      <x:c r="D14" s="6">
        <x:v>46349</x:v>
      </x:c>
      <x:c r="E14" s="35">
        <x:v>46349</x:v>
      </x:c>
      <x:c r="F14" s="36" t="s">
        <x:v>70</x:v>
      </x:c>
      <x:c r="G14" s="3" t="s">
        <x:v>46</x:v>
      </x:c>
      <x:c r="H14" s="3" t="str">
        <x:f>IF(A14="","",IF(F14="Complete","Complete",IF(F14="Blocked","Blocked",IF(E14&lt;Overview!$B$5,"Overdue",IF(AND(E14&gt;Overview!$B$5+3,K14&gt;=3),"At risk",IF(E14&lt;=Overview!$B$5+3,"Due soon","On track"))))))</x:f>
        <x:v>On track</x:v>
      </x:c>
      <x:c r="I14" s="3" t="s">
        <x:v>82</x:v>
      </x:c>
      <x:c r="J14" s="34" t="n">
        <x:f>IF(OR(A14="",E14="",F14="Complete"),"",E14-Overview!$B$5)</x:f>
        <x:v>13</x:v>
      </x:c>
      <x:c r="K14" s="34">
        <x:f t="shared" si="0"/>
        <x:v>0</x:v>
      </x:c>
      <x:c r="L14" s="33" t="str">
        <x:f t="shared" si="1"/>
        <x:v>Monitor</x:v>
      </x:c>
    </x:row>
    <x:row r="15" ht="30" customHeight="1">
      <x:c r="A15" s="3" t="s">
        <x:v>83</x:v>
      </x:c>
      <x:c r="B15" s="3" t="s">
        <x:v>84</x:v>
      </x:c>
      <x:c r="C15" s="3" t="s">
        <x:v>81</x:v>
      </x:c>
      <x:c r="D15" s="6">
        <x:v>46350</x:v>
      </x:c>
      <x:c r="E15" s="35">
        <x:v>46350</x:v>
      </x:c>
      <x:c r="F15" s="36" t="s">
        <x:v>70</x:v>
      </x:c>
      <x:c r="G15" s="3" t="s">
        <x:v>46</x:v>
      </x:c>
      <x:c r="H15" s="3" t="str">
        <x:f>IF(A15="","",IF(F15="Complete","Complete",IF(F15="Blocked","Blocked",IF(E15&lt;Overview!$B$5,"Overdue",IF(AND(E15&gt;Overview!$B$5+3,K15&gt;=3),"At risk",IF(E15&lt;=Overview!$B$5+3,"Due soon","On track"))))))</x:f>
        <x:v>On track</x:v>
      </x:c>
      <x:c r="I15" s="3" t="s">
        <x:v>85</x:v>
      </x:c>
      <x:c r="J15" s="34" t="n">
        <x:f>IF(OR(A15="",E15="",F15="Complete"),"",E15-Overview!$B$5)</x:f>
        <x:v>14</x:v>
      </x:c>
      <x:c r="K15" s="34">
        <x:f t="shared" si="0"/>
        <x:v>0</x:v>
      </x:c>
      <x:c r="L15" s="33" t="str">
        <x:f t="shared" si="1"/>
        <x:v>Monitor</x:v>
      </x:c>
    </x:row>
    <x:row r="16" ht="30" customHeight="1">
      <x:c r="A16" s="3" t="s">
        <x:v>86</x:v>
      </x:c>
      <x:c r="B16" s="3" t="s">
        <x:v>87</x:v>
      </x:c>
      <x:c r="C16" s="3" t="s">
        <x:v>81</x:v>
      </x:c>
      <x:c r="D16" s="6">
        <x:v>46351</x:v>
      </x:c>
      <x:c r="E16" s="35">
        <x:v>46351</x:v>
      </x:c>
      <x:c r="F16" s="36" t="s">
        <x:v>70</x:v>
      </x:c>
      <x:c r="G16" s="3" t="s">
        <x:v>32</x:v>
      </x:c>
      <x:c r="H16" s="3" t="str">
        <x:f>IF(A16="","",IF(F16="Complete","Complete",IF(F16="Blocked","Blocked",IF(E16&lt;Overview!$B$5,"Overdue",IF(AND(E16&gt;Overview!$B$5+3,K16&gt;=3),"At risk",IF(E16&lt;=Overview!$B$5+3,"Due soon","On track"))))))</x:f>
        <x:v>On track</x:v>
      </x:c>
      <x:c r="I16" s="3" t="s">
        <x:v>88</x:v>
      </x:c>
      <x:c r="J16" s="34" t="n">
        <x:f>IF(OR(A16="",E16="",F16="Complete"),"",E16-Overview!$B$5)</x:f>
        <x:v>15</x:v>
      </x:c>
      <x:c r="K16" s="34">
        <x:f t="shared" si="0"/>
        <x:v>0</x:v>
      </x:c>
      <x:c r="L16" s="33" t="str">
        <x:f t="shared" si="1"/>
        <x:v>Monitor</x:v>
      </x:c>
    </x:row>
    <x:row r="17" ht="30" customHeight="1">
      <x:c r="A17" s="3" t="s">
        <x:v>89</x:v>
      </x:c>
      <x:c r="B17" s="3" t="s">
        <x:v>90</x:v>
      </x:c>
      <x:c r="C17" s="3" t="s">
        <x:v>44</x:v>
      </x:c>
      <x:c r="D17" s="6">
        <x:v>46353</x:v>
      </x:c>
      <x:c r="E17" s="35">
        <x:v>46353</x:v>
      </x:c>
      <x:c r="F17" s="36" t="s">
        <x:v>70</x:v>
      </x:c>
      <x:c r="G17" s="3" t="s">
        <x:v>46</x:v>
      </x:c>
      <x:c r="H17" s="3" t="str">
        <x:f>IF(A17="","",IF(F17="Complete","Complete",IF(F17="Blocked","Blocked",IF(E17&lt;Overview!$B$5,"Overdue",IF(AND(E17&gt;Overview!$B$5+3,K17&gt;=3),"At risk",IF(E17&lt;=Overview!$B$5+3,"Due soon","On track"))))))</x:f>
        <x:v>On track</x:v>
      </x:c>
      <x:c r="I17" s="3" t="s">
        <x:v>91</x:v>
      </x:c>
      <x:c r="J17" s="34" t="n">
        <x:f>IF(OR(A17="",E17="",F17="Complete"),"",E17-Overview!$B$5)</x:f>
        <x:v>17</x:v>
      </x:c>
      <x:c r="K17" s="34">
        <x:f t="shared" si="0"/>
        <x:v>0</x:v>
      </x:c>
      <x:c r="L17" s="33" t="str">
        <x:f t="shared" si="1"/>
        <x:v>Monitor</x:v>
      </x:c>
    </x:row>
    <x:row r="18">
      <x:c r="A18" s="1"/>
      <x:c r="B18" s="1"/>
      <x:c r="C18" s="1"/>
      <x:c r="D18" s="1"/>
      <x:c r="E18" s="1"/>
      <x:c r="F18" s="1"/>
      <x:c r="G18" s="1"/>
      <x:c r="H18" s="1"/>
      <x:c r="I18" s="1"/>
    </x:row>
    <x:row r="19">
      <x:c r="A19" s="1"/>
      <x:c r="B19" s="1"/>
      <x:c r="C19" s="1"/>
      <x:c r="D19" s="1"/>
      <x:c r="E19" s="1"/>
      <x:c r="F19" s="1"/>
      <x:c r="G19" s="1"/>
      <x:c r="H19" s="1"/>
      <x:c r="I19" s="1"/>
    </x:row>
    <x:row r="20" ht="27.950000762939453" customHeight="1">
      <x:c r="A20" s="79" t="s">
        <x:v>92</x:v>
      </x:c>
      <x:c r="B20" s="79"/>
      <x:c r="C20" s="79"/>
      <x:c r="D20" s="79"/>
      <x:c r="E20" s="79"/>
      <x:c r="F20" s="79"/>
      <x:c r="G20" s="79"/>
      <x:c r="H20" s="79"/>
      <x:c r="I20" s="79"/>
      <x:c r="J20" s="37"/>
      <x:c r="K20" s="37"/>
      <x:c r="L20" s="37"/>
    </x:row>
    <x:row r="21" ht="199.5">
      <x:c r="A21" s="38" t="str">
        <x:v>Control note: changes to dates or status update the delivery dashboard and Gantt automatically.</x:v>
      </x:c>
      <x:c r="B21" s="38"/>
      <x:c r="C21" s="38"/>
      <x:c r="D21" s="38"/>
      <x:c r="E21" s="38"/>
      <x:c r="F21" s="38"/>
      <x:c r="G21" s="38"/>
      <x:c r="H21" s="38"/>
      <x:c r="I21" s="38"/>
      <x:c r="J21" s="37"/>
      <x:c r="K21" s="37"/>
      <x:c r="L21" s="37"/>
    </x:row>
    <x:row r="22" ht="213.75">
      <x:c r="A22" s="38" t="s">
        <x:v>93</x:v>
      </x:c>
      <x:c r="B22" s="38"/>
      <x:c r="C22" s="38"/>
      <x:c r="D22" s="38"/>
      <x:c r="E22" s="38"/>
      <x:c r="F22" s="38"/>
      <x:c r="G22" s="38"/>
      <x:c r="H22" s="38"/>
      <x:c r="I22" s="38"/>
      <x:c r="J22" s="37"/>
      <x:c r="K22" s="37"/>
      <x:c r="L22" s="37"/>
    </x:row>
    <x:row r="23">
      <x:c r="A23" s="1"/>
      <x:c r="B23" s="1"/>
      <x:c r="C23" s="1"/>
      <x:c r="D23" s="1"/>
      <x:c r="E23" s="1"/>
      <x:c r="F23" s="1"/>
      <x:c r="G23" s="1"/>
      <x:c r="H23" s="1"/>
      <x:c r="I23" s="1"/>
    </x:row>
    <x:row r="24">
      <x:c r="A24" s="1"/>
      <x:c r="B24" s="1"/>
      <x:c r="C24" s="1"/>
      <x:c r="D24" s="1"/>
      <x:c r="E24" s="1"/>
      <x:c r="F24" s="1"/>
      <x:c r="G24" s="1"/>
      <x:c r="H24" s="1"/>
      <x:c r="I24" s="1"/>
    </x:row>
    <x:row r="25">
      <x:c r="A25" s="1"/>
      <x:c r="B25" s="1"/>
      <x:c r="C25" s="1"/>
      <x:c r="D25" s="1"/>
      <x:c r="E25" s="1"/>
      <x:c r="F25" s="1"/>
      <x:c r="G25" s="1"/>
      <x:c r="H25" s="1"/>
      <x:c r="I25" s="1"/>
    </x:row>
    <x:row r="26">
      <x:c r="A26" s="1"/>
      <x:c r="B26" s="1"/>
      <x:c r="C26" s="1"/>
      <x:c r="D26" s="1"/>
      <x:c r="E26" s="1"/>
      <x:c r="F26" s="1"/>
      <x:c r="G26" s="1"/>
      <x:c r="H26" s="1"/>
      <x:c r="I26" s="1"/>
    </x:row>
    <x:row r="27">
      <x:c r="A27" s="1"/>
      <x:c r="B27" s="1"/>
      <x:c r="C27" s="1"/>
      <x:c r="D27" s="1"/>
      <x:c r="E27" s="1"/>
      <x:c r="F27" s="1"/>
      <x:c r="G27" s="1"/>
      <x:c r="H27" s="1"/>
      <x:c r="I27" s="1"/>
    </x:row>
    <x:row r="28">
      <x:c r="A28" s="1"/>
      <x:c r="B28" s="1"/>
      <x:c r="C28" s="1"/>
      <x:c r="D28" s="1"/>
      <x:c r="E28" s="1"/>
      <x:c r="F28" s="1"/>
      <x:c r="G28" s="1"/>
      <x:c r="H28" s="1"/>
      <x:c r="I28" s="1"/>
    </x:row>
    <x:row r="29">
      <x:c r="A29" s="1"/>
      <x:c r="B29" s="1"/>
      <x:c r="C29" s="1"/>
      <x:c r="D29" s="1"/>
      <x:c r="E29" s="1"/>
      <x:c r="F29" s="1"/>
      <x:c r="G29" s="1"/>
      <x:c r="H29" s="1"/>
      <x:c r="I29" s="1"/>
    </x:row>
    <x:row r="30">
      <x:c r="A30" s="1"/>
      <x:c r="B30" s="1"/>
      <x:c r="C30" s="1"/>
      <x:c r="D30" s="1"/>
      <x:c r="E30" s="1"/>
      <x:c r="F30" s="1"/>
      <x:c r="G30" s="1"/>
      <x:c r="H30" s="1"/>
      <x:c r="I30" s="1"/>
    </x:row>
    <x:row r="31">
      <x:c r="A31" s="1"/>
      <x:c r="B31" s="1"/>
      <x:c r="C31" s="1"/>
      <x:c r="D31" s="1"/>
      <x:c r="E31" s="1"/>
      <x:c r="F31" s="1"/>
      <x:c r="G31" s="1"/>
      <x:c r="H31" s="1"/>
      <x:c r="I31" s="1"/>
    </x:row>
    <x:row r="32">
      <x:c r="A32" s="1"/>
      <x:c r="B32" s="1"/>
      <x:c r="C32" s="1"/>
      <x:c r="D32" s="1"/>
      <x:c r="E32" s="1"/>
      <x:c r="F32" s="1"/>
      <x:c r="G32" s="1"/>
      <x:c r="H32" s="1"/>
      <x:c r="I32" s="1"/>
    </x:row>
    <x:row r="33">
      <x:c r="A33" s="1"/>
      <x:c r="B33" s="1"/>
      <x:c r="C33" s="1"/>
      <x:c r="D33" s="1"/>
      <x:c r="E33" s="1"/>
      <x:c r="F33" s="1"/>
      <x:c r="G33" s="1"/>
      <x:c r="H33" s="1"/>
      <x:c r="I33" s="1"/>
    </x:row>
    <x:row r="34">
      <x:c r="A34" s="1"/>
      <x:c r="B34" s="1"/>
      <x:c r="C34" s="1"/>
      <x:c r="D34" s="1"/>
      <x:c r="E34" s="1"/>
      <x:c r="F34" s="1"/>
      <x:c r="G34" s="1"/>
      <x:c r="H34" s="1"/>
      <x:c r="I34" s="1"/>
    </x:row>
    <x:row r="35">
      <x:c r="A35" s="1"/>
      <x:c r="B35" s="1"/>
      <x:c r="C35" s="1"/>
      <x:c r="D35" s="1"/>
      <x:c r="E35" s="1"/>
      <x:c r="F35" s="1"/>
      <x:c r="G35" s="1"/>
      <x:c r="H35" s="1"/>
      <x:c r="I35" s="1"/>
    </x:row>
  </x:sheetData>
  <x:mergeCells>
    <x:mergeCell ref="A1:I2"/>
    <x:mergeCell ref="A3:I3"/>
    <x:mergeCell ref="A20:I20"/>
  </x:mergeCells>
  <x:conditionalFormatting sqref="H6:H17">
    <x:cfRule type="expression" dxfId="26" priority="4">
      <x:formula>H6="Blocked"</x:formula>
    </x:cfRule>
    <x:cfRule type="expression" dxfId="25" priority="5">
      <x:formula>H6="Overdue"</x:formula>
    </x:cfRule>
    <x:cfRule type="expression" dxfId="24" priority="6">
      <x:formula>H6="At risk"</x:formula>
    </x:cfRule>
    <x:cfRule type="expression" dxfId="23" priority="7">
      <x:formula>H6="Due soon"</x:formula>
    </x:cfRule>
    <x:cfRule type="expression" dxfId="22" priority="8">
      <x:formula>H6="Complete"</x:formula>
    </x:cfRule>
  </x:conditionalFormatting>
  <x:conditionalFormatting sqref="H6:H40">
    <x:cfRule type="expression" dxfId="21" priority="1">
      <x:formula>OR(H6="Overdue",H6="Blocked")</x:formula>
    </x:cfRule>
    <x:cfRule type="expression" dxfId="20" priority="2">
      <x:formula>H6="Due soon"</x:formula>
    </x:cfRule>
    <x:cfRule type="expression" dxfId="19" priority="3">
      <x:formula>H6="Complete"</x:formula>
    </x:cfRule>
  </x:conditionalFormatting>
  <x:conditionalFormatting sqref="J6:J17">
    <x:cfRule type="cellIs" dxfId="18" priority="9" operator="lessThan">
      <x:formula>0</x:formula>
    </x:cfRule>
  </x:conditionalFormatting>
  <x:conditionalFormatting sqref="K6:K17">
    <x:cfRule type="cellIs" dxfId="17" priority="10" operator="greaterThan">
      <x:formula>2</x:formula>
    </x:cfRule>
  </x:conditionalFormatting>
  <x:dataValidations count="1">
    <x:dataValidation type="list" sqref="F6:F40">
      <x:formula1>"Not started,In progress,Blocked,Complete"</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4.25"/>
  <x:cols>
    <x:col min="1" max="1" width="25" customWidth="1"/>
    <x:col min="2" max="7" width="15" customWidth="1"/>
    <x:col min="8" max="8" width="23" customWidth="1"/>
    <x:col min="9" max="9" width="15" customWidth="1"/>
    <x:col min="10" max="10" width="30" customWidth="1"/>
  </x:cols>
  <x:sheetData>
    <x:row r="1" ht="23.100000381469727" customHeight="1">
      <x:c r="A1" s="67" t="s">
        <x:v>94</x:v>
      </x:c>
      <x:c r="B1" s="67"/>
      <x:c r="C1" s="67"/>
      <x:c r="D1" s="67"/>
      <x:c r="E1" s="67"/>
      <x:c r="F1" s="67"/>
      <x:c r="G1" s="67"/>
      <x:c r="H1" s="67"/>
      <x:c r="I1" s="67"/>
      <x:c r="J1" s="67"/>
    </x:row>
    <x:row r="2" ht="23.100000381469727" customHeight="1">
      <x:c r="A2" s="67"/>
      <x:c r="B2" s="67"/>
      <x:c r="C2" s="67"/>
      <x:c r="D2" s="67"/>
      <x:c r="E2" s="67"/>
      <x:c r="F2" s="67"/>
      <x:c r="G2" s="67"/>
      <x:c r="H2" s="67"/>
      <x:c r="I2" s="67"/>
      <x:c r="J2" s="67"/>
    </x:row>
    <x:row r="3" ht="23.100000381469727" customHeight="1">
      <x:c r="A3" s="68" t="s">
        <x:v>95</x:v>
      </x:c>
      <x:c r="B3" s="68"/>
      <x:c r="C3" s="68"/>
      <x:c r="D3" s="68"/>
      <x:c r="E3" s="68"/>
      <x:c r="F3" s="68"/>
      <x:c r="G3" s="68"/>
      <x:c r="H3" s="68"/>
      <x:c r="I3" s="68"/>
      <x:c r="J3" s="68"/>
    </x:row>
    <x:row r="4">
      <x:c r="A4" s="1"/>
      <x:c r="B4" s="1"/>
      <x:c r="C4" s="1"/>
      <x:c r="D4" s="1"/>
      <x:c r="E4" s="1"/>
      <x:c r="F4" s="1"/>
      <x:c r="G4" s="1"/>
      <x:c r="H4" s="1"/>
      <x:c r="I4" s="1"/>
      <x:c r="J4" s="1"/>
    </x:row>
    <x:row r="5" ht="30" customHeight="1">
      <x:c r="A5" s="5" t="s">
        <x:v>96</x:v>
      </x:c>
      <x:c r="B5" s="5" t="s">
        <x:v>97</x:v>
      </x:c>
      <x:c r="C5" s="5" t="s">
        <x:v>98</x:v>
      </x:c>
      <x:c r="D5" s="5" t="s">
        <x:v>99</x:v>
      </x:c>
      <x:c r="E5" s="5" t="s">
        <x:v>100</x:v>
      </x:c>
      <x:c r="F5" s="5" t="s">
        <x:v>101</x:v>
      </x:c>
      <x:c r="G5" s="5" t="s">
        <x:v>102</x:v>
      </x:c>
      <x:c r="H5" s="5" t="s">
        <x:v>103</x:v>
      </x:c>
      <x:c r="I5" s="5" t="s">
        <x:v>104</x:v>
      </x:c>
      <x:c r="J5" s="5" t="s">
        <x:v>105</x:v>
      </x:c>
    </x:row>
    <x:row r="6" ht="42.95000076293945" customHeight="1">
      <x:c r="A6" s="3" t="s">
        <x:v>106</x:v>
      </x:c>
      <x:c r="B6" s="3">
        <x:v>30</x:v>
      </x:c>
      <x:c r="C6" s="8">
        <x:v>105</x:v>
      </x:c>
      <x:c r="D6" s="8" t="n">
        <x:f t="shared" ref="D6:D11" si="0">B6*C6</x:f>
        <x:v>3150</x:v>
      </x:c>
      <x:c r="E6" s="3">
        <x:v>20</x:v>
      </x:c>
      <x:c r="F6" s="8" t="n">
        <x:f t="shared" ref="F6:F11" si="1">E6*C6</x:f>
        <x:v>2100</x:v>
      </x:c>
      <x:c r="G6" s="3">
        <x:v>17</x:v>
      </x:c>
      <x:c r="H6" s="10" t="n">
        <x:f t="shared" ref="H6:H11" si="2">(E6+G6)*C6</x:f>
        <x:v>3885</x:v>
      </x:c>
      <x:c r="I6" s="10" t="n">
        <x:f t="shared" ref="I6:I11" si="3">H6-D6</x:f>
        <x:v>735</x:v>
      </x:c>
      <x:c r="J6" s="3" t="s">
        <x:v>107</x:v>
      </x:c>
    </x:row>
    <x:row r="7" ht="42.95000076293945" customHeight="1">
      <x:c r="A7" s="3" t="s">
        <x:v>108</x:v>
      </x:c>
      <x:c r="B7" s="3">
        <x:v>12</x:v>
      </x:c>
      <x:c r="C7" s="8">
        <x:v>135</x:v>
      </x:c>
      <x:c r="D7" s="8">
        <x:f t="shared" si="0"/>
        <x:v>1620</x:v>
      </x:c>
      <x:c r="E7" s="3">
        <x:v>4</x:v>
      </x:c>
      <x:c r="F7" s="8">
        <x:f t="shared" si="1"/>
        <x:v>540</x:v>
      </x:c>
      <x:c r="G7" s="3">
        <x:v>12</x:v>
      </x:c>
      <x:c r="H7" s="10">
        <x:f t="shared" si="2"/>
        <x:v>2160</x:v>
      </x:c>
      <x:c r="I7" s="10">
        <x:f t="shared" si="3"/>
        <x:v>540</x:v>
      </x:c>
      <x:c r="J7" s="3" t="s">
        <x:v>109</x:v>
      </x:c>
    </x:row>
    <x:row r="8" ht="42.95000076293945" customHeight="1">
      <x:c r="A8" s="3" t="s">
        <x:v>110</x:v>
      </x:c>
      <x:c r="B8" s="3">
        <x:v>20</x:v>
      </x:c>
      <x:c r="C8" s="8">
        <x:v>85</x:v>
      </x:c>
      <x:c r="D8" s="8">
        <x:f t="shared" si="0"/>
        <x:v>1700</x:v>
      </x:c>
      <x:c r="E8" s="3">
        <x:v>0</x:v>
      </x:c>
      <x:c r="F8" s="8">
        <x:f t="shared" si="1"/>
        <x:v>0</x:v>
      </x:c>
      <x:c r="G8" s="3">
        <x:v>21</x:v>
      </x:c>
      <x:c r="H8" s="10">
        <x:f t="shared" si="2"/>
        <x:v>1785</x:v>
      </x:c>
      <x:c r="I8" s="10">
        <x:f t="shared" si="3"/>
        <x:v>85</x:v>
      </x:c>
      <x:c r="J8" s="3" t="s">
        <x:v>111</x:v>
      </x:c>
    </x:row>
    <x:row r="9" ht="42.95000076293945" customHeight="1">
      <x:c r="A9" s="3" t="s">
        <x:v>112</x:v>
      </x:c>
      <x:c r="B9" s="3">
        <x:v>26</x:v>
      </x:c>
      <x:c r="C9" s="8">
        <x:v>70</x:v>
      </x:c>
      <x:c r="D9" s="8">
        <x:f t="shared" si="0"/>
        <x:v>1820</x:v>
      </x:c>
      <x:c r="E9" s="3">
        <x:v>14</x:v>
      </x:c>
      <x:c r="F9" s="8">
        <x:f t="shared" si="1"/>
        <x:v>980</x:v>
      </x:c>
      <x:c r="G9" s="3">
        <x:v>18</x:v>
      </x:c>
      <x:c r="H9" s="10">
        <x:f t="shared" si="2"/>
        <x:v>2240</x:v>
      </x:c>
      <x:c r="I9" s="10">
        <x:f t="shared" si="3"/>
        <x:v>420</x:v>
      </x:c>
      <x:c r="J9" s="3" t="s">
        <x:v>113</x:v>
      </x:c>
    </x:row>
    <x:row r="10" ht="42.95000076293945" customHeight="1">
      <x:c r="A10" s="3" t="s">
        <x:v>114</x:v>
      </x:c>
      <x:c r="B10" s="3">
        <x:v>10</x:v>
      </x:c>
      <x:c r="C10" s="8">
        <x:v>95</x:v>
      </x:c>
      <x:c r="D10" s="8">
        <x:f t="shared" si="0"/>
        <x:v>950</x:v>
      </x:c>
      <x:c r="E10" s="3">
        <x:v>0</x:v>
      </x:c>
      <x:c r="F10" s="8">
        <x:f t="shared" si="1"/>
        <x:v>0</x:v>
      </x:c>
      <x:c r="G10" s="3">
        <x:v>10</x:v>
      </x:c>
      <x:c r="H10" s="10">
        <x:f t="shared" si="2"/>
        <x:v>950</x:v>
      </x:c>
      <x:c r="I10" s="10">
        <x:f t="shared" si="3"/>
        <x:v>0</x:v>
      </x:c>
      <x:c r="J10" s="3" t="s">
        <x:v>115</x:v>
      </x:c>
    </x:row>
    <x:row r="11" ht="42.95000076293945" customHeight="1">
      <x:c r="A11" s="3" t="s">
        <x:v>116</x:v>
      </x:c>
      <x:c r="B11" s="3">
        <x:v>1</x:v>
      </x:c>
      <x:c r="C11" s="8">
        <x:v>650</x:v>
      </x:c>
      <x:c r="D11" s="8">
        <x:f t="shared" si="0"/>
        <x:v>650</x:v>
      </x:c>
      <x:c r="E11" s="3">
        <x:v>0</x:v>
      </x:c>
      <x:c r="F11" s="8">
        <x:f t="shared" si="1"/>
        <x:v>0</x:v>
      </x:c>
      <x:c r="G11" s="3">
        <x:v>1</x:v>
      </x:c>
      <x:c r="H11" s="10">
        <x:f t="shared" si="2"/>
        <x:v>650</x:v>
      </x:c>
      <x:c r="I11" s="10">
        <x:f t="shared" si="3"/>
        <x:v>0</x:v>
      </x:c>
      <x:c r="J11" s="3" t="s">
        <x:v>117</x:v>
      </x:c>
    </x:row>
    <x:row r="12" ht="27" customHeight="1">
      <x:c r="A12" s="7" t="s">
        <x:v>118</x:v>
      </x:c>
      <x:c r="B12" s="7"/>
      <x:c r="C12" s="9"/>
      <x:c r="D12" s="9" t="n">
        <x:f>SUM(D6:D11)</x:f>
        <x:v>9890</x:v>
      </x:c>
      <x:c r="E12" s="7"/>
      <x:c r="F12" s="9" t="n">
        <x:f>SUM(F6:F11)</x:f>
        <x:v>3620</x:v>
      </x:c>
      <x:c r="G12" s="7"/>
      <x:c r="H12" s="11" t="n">
        <x:f>SUM(H6:H11)</x:f>
        <x:v>11670</x:v>
      </x:c>
      <x:c r="I12" s="11" t="n">
        <x:f>SUM(I6:I11)</x:f>
        <x:v>1780</x:v>
      </x:c>
      <x:c r="J12" s="7"/>
    </x:row>
    <x:row r="13">
      <x:c r="A13" s="1"/>
      <x:c r="B13" s="1"/>
      <x:c r="C13" s="1"/>
      <x:c r="D13" s="1"/>
      <x:c r="E13" s="1"/>
      <x:c r="F13" s="1"/>
      <x:c r="G13" s="1"/>
      <x:c r="H13" s="1"/>
      <x:c r="I13" s="1"/>
      <x:c r="J13" s="1"/>
    </x:row>
    <x:row r="14">
      <x:c r="A14" s="1"/>
      <x:c r="B14" s="1"/>
      <x:c r="C14" s="1"/>
      <x:c r="D14" s="1"/>
      <x:c r="E14" s="1"/>
      <x:c r="F14" s="1"/>
      <x:c r="G14" s="1"/>
      <x:c r="H14" s="1"/>
      <x:c r="I14" s="1"/>
      <x:c r="J14" s="1"/>
    </x:row>
    <x:row r="15" ht="15">
      <x:c r="A15" s="69" t="s">
        <x:v>119</x:v>
      </x:c>
      <x:c r="B15" s="69"/>
      <x:c r="C15" s="69"/>
      <x:c r="D15" s="69"/>
      <x:c r="E15" s="69"/>
      <x:c r="F15" s="69"/>
      <x:c r="G15" s="69"/>
      <x:c r="H15" s="69"/>
      <x:c r="I15" s="69"/>
      <x:c r="J15" s="69"/>
    </x:row>
    <x:row r="16" ht="27" customHeight="1">
      <x:c r="A16" s="80" t="s">
        <x:v>120</x:v>
      </x:c>
      <x:c r="B16" s="80"/>
      <x:c r="C16" s="80"/>
      <x:c r="D16" s="80"/>
      <x:c r="E16" s="80"/>
      <x:c r="F16" s="80"/>
      <x:c r="G16" s="80"/>
      <x:c r="H16" s="80"/>
      <x:c r="I16" s="80"/>
      <x:c r="J16" s="80"/>
    </x:row>
    <x:row r="17" ht="27" customHeight="1">
      <x:c r="A17" s="75" t="s">
        <x:v>121</x:v>
      </x:c>
      <x:c r="B17" s="75"/>
      <x:c r="C17" s="75"/>
      <x:c r="D17" s="75"/>
      <x:c r="E17" s="75"/>
      <x:c r="F17" s="75"/>
      <x:c r="G17" s="75"/>
      <x:c r="H17" s="75"/>
      <x:c r="I17" s="75"/>
      <x:c r="J17" s="75"/>
    </x:row>
    <x:row r="18" ht="27" customHeight="1">
      <x:c r="A18" s="80" t="s">
        <x:v>122</x:v>
      </x:c>
      <x:c r="B18" s="80"/>
      <x:c r="C18" s="80"/>
      <x:c r="D18" s="80"/>
      <x:c r="E18" s="80"/>
      <x:c r="F18" s="80"/>
      <x:c r="G18" s="80"/>
      <x:c r="H18" s="80"/>
      <x:c r="I18" s="80"/>
      <x:c r="J18" s="80"/>
    </x:row>
    <x:row r="19" ht="27" customHeight="1">
      <x:c r="A19" s="75" t="s">
        <x:v>123</x:v>
      </x:c>
      <x:c r="B19" s="75"/>
      <x:c r="C19" s="75"/>
      <x:c r="D19" s="75"/>
      <x:c r="E19" s="75"/>
      <x:c r="F19" s="75"/>
      <x:c r="G19" s="75"/>
      <x:c r="H19" s="75"/>
      <x:c r="I19" s="75"/>
      <x:c r="J19" s="75"/>
    </x:row>
    <x:row r="20">
      <x:c r="A20" s="1"/>
      <x:c r="B20" s="1"/>
      <x:c r="C20" s="1"/>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1"/>
      <x:c r="B23" s="1"/>
      <x:c r="C23" s="1"/>
      <x:c r="D23" s="1"/>
      <x:c r="E23" s="1"/>
      <x:c r="F23" s="1"/>
      <x:c r="G23" s="1"/>
      <x:c r="H23" s="1"/>
      <x:c r="I23" s="1"/>
      <x:c r="J23" s="1"/>
    </x:row>
    <x:row r="24">
      <x:c r="A24" s="1"/>
      <x:c r="B24" s="1"/>
      <x:c r="C24" s="1"/>
      <x:c r="D24" s="1"/>
      <x:c r="E24" s="1"/>
      <x:c r="F24" s="1"/>
      <x:c r="G24" s="1"/>
      <x:c r="H24" s="1"/>
      <x:c r="I24" s="1"/>
      <x:c r="J24" s="1"/>
    </x:row>
    <x:row r="25">
      <x:c r="A25" s="1"/>
      <x:c r="B25" s="1"/>
      <x:c r="C25" s="1"/>
      <x:c r="D25" s="1"/>
      <x:c r="E25" s="1"/>
      <x:c r="F25" s="1"/>
      <x:c r="G25" s="1"/>
      <x:c r="H25" s="1"/>
      <x:c r="I25" s="1"/>
      <x:c r="J25" s="1"/>
    </x:row>
    <x:row r="26">
      <x:c r="A26" s="1"/>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sheetData>
  <x:mergeCells>
    <x:mergeCell ref="A18:J18"/>
    <x:mergeCell ref="A19:J19"/>
    <x:mergeCell ref="A1:J2"/>
    <x:mergeCell ref="A3:J3"/>
    <x:mergeCell ref="A15:J15"/>
    <x:mergeCell ref="A16:J16"/>
    <x:mergeCell ref="A17:J17"/>
  </x:mergeCells>
  <x:conditionalFormatting sqref="I6:I11">
    <x:cfRule type="cellIs" dxfId="16" priority="1" operator="greaterThan">
      <x:formula>0</x:formula>
    </x:cfRule>
  </x:conditionalFormatting>
  <x:pageMargins left="0.7" right="0.7" top="0.75" bottom="0.75" header="0.3" footer="0.3"/>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4.25"/>
  <x:cols>
    <x:col min="1" max="1" width="9" customWidth="1"/>
    <x:col min="2" max="2" width="12" customWidth="1"/>
    <x:col min="3" max="3" width="44" customWidth="1"/>
    <x:col min="4" max="5" width="15" customWidth="1"/>
    <x:col min="6" max="6" width="18" customWidth="1"/>
    <x:col min="7" max="7" width="15" customWidth="1"/>
    <x:col min="8" max="8" width="48" customWidth="1"/>
    <x:col min="9" max="9" width="14" customWidth="1"/>
  </x:cols>
  <x:sheetData>
    <x:row r="1" ht="23.100000381469727" customHeight="1">
      <x:c r="A1" s="67" t="s">
        <x:v>124</x:v>
      </x:c>
      <x:c r="B1" s="67"/>
      <x:c r="C1" s="67"/>
      <x:c r="D1" s="67"/>
      <x:c r="E1" s="67"/>
      <x:c r="F1" s="67"/>
      <x:c r="G1" s="67"/>
      <x:c r="H1" s="67"/>
      <x:c r="I1" s="67"/>
    </x:row>
    <x:row r="2" ht="23.100000381469727" customHeight="1">
      <x:c r="A2" s="67"/>
      <x:c r="B2" s="67"/>
      <x:c r="C2" s="67"/>
      <x:c r="D2" s="67"/>
      <x:c r="E2" s="67"/>
      <x:c r="F2" s="67"/>
      <x:c r="G2" s="67"/>
      <x:c r="H2" s="67"/>
      <x:c r="I2" s="67"/>
    </x:row>
    <x:row r="3" ht="23.100000381469727" customHeight="1">
      <x:c r="A3" s="68" t="s">
        <x:v>125</x:v>
      </x:c>
      <x:c r="B3" s="68"/>
      <x:c r="C3" s="68"/>
      <x:c r="D3" s="68"/>
      <x:c r="E3" s="68"/>
      <x:c r="F3" s="68"/>
      <x:c r="G3" s="68"/>
      <x:c r="H3" s="68"/>
      <x:c r="I3" s="68"/>
    </x:row>
    <x:row r="4">
      <x:c r="A4" s="1"/>
      <x:c r="B4" s="1"/>
      <x:c r="C4" s="1"/>
      <x:c r="D4" s="1"/>
      <x:c r="E4" s="1"/>
      <x:c r="F4" s="1"/>
      <x:c r="G4" s="1"/>
      <x:c r="H4" s="1"/>
      <x:c r="I4" s="1"/>
    </x:row>
    <x:row r="5" ht="30" customHeight="1">
      <x:c r="A5" s="5" t="s">
        <x:v>30</x:v>
      </x:c>
      <x:c r="B5" s="5" t="s">
        <x:v>126</x:v>
      </x:c>
      <x:c r="C5" s="5" t="s">
        <x:v>127</x:v>
      </x:c>
      <x:c r="D5" s="5" t="s">
        <x:v>128</x:v>
      </x:c>
      <x:c r="E5" s="5" t="s">
        <x:v>129</x:v>
      </x:c>
      <x:c r="F5" s="5" t="s">
        <x:v>36</x:v>
      </x:c>
      <x:c r="G5" s="5" t="s">
        <x:v>130</x:v>
      </x:c>
      <x:c r="H5" s="5" t="s">
        <x:v>131</x:v>
      </x:c>
      <x:c r="I5" s="5" t="s">
        <x:v>132</x:v>
      </x:c>
    </x:row>
    <x:row r="6" ht="54.95000076293945" customHeight="1">
      <x:c r="A6" s="3" t="s">
        <x:v>133</x:v>
      </x:c>
      <x:c r="B6" s="3" t="s">
        <x:v>134</x:v>
      </x:c>
      <x:c r="C6" s="3" t="s">
        <x:v>135</x:v>
      </x:c>
      <x:c r="D6" s="3" t="s">
        <x:v>136</x:v>
      </x:c>
      <x:c r="E6" s="3" t="s">
        <x:v>136</x:v>
      </x:c>
      <x:c r="F6" s="3" t="s">
        <x:v>137</x:v>
      </x:c>
      <x:c r="G6" s="3" t="s">
        <x:v>138</x:v>
      </x:c>
      <x:c r="H6" s="3" t="s">
        <x:v>139</x:v>
      </x:c>
      <x:c r="I6" s="3" t="s">
        <x:v>140</x:v>
      </x:c>
    </x:row>
    <x:row r="7" ht="54.95000076293945" customHeight="1">
      <x:c r="A7" s="3" t="s">
        <x:v>141</x:v>
      </x:c>
      <x:c r="B7" s="3" t="s">
        <x:v>142</x:v>
      </x:c>
      <x:c r="C7" s="3" t="s">
        <x:v>143</x:v>
      </x:c>
      <x:c r="D7" s="3" t="s">
        <x:v>136</x:v>
      </x:c>
      <x:c r="E7" s="3" t="s">
        <x:v>136</x:v>
      </x:c>
      <x:c r="F7" s="3" t="s">
        <x:v>50</x:v>
      </x:c>
      <x:c r="G7" s="3" t="s">
        <x:v>138</x:v>
      </x:c>
      <x:c r="H7" s="3" t="s">
        <x:v>144</x:v>
      </x:c>
      <x:c r="I7" s="3" t="s">
        <x:v>140</x:v>
      </x:c>
    </x:row>
    <x:row r="8" ht="54.95000076293945" customHeight="1">
      <x:c r="A8" s="3" t="s">
        <x:v>145</x:v>
      </x:c>
      <x:c r="B8" s="3" t="s">
        <x:v>142</x:v>
      </x:c>
      <x:c r="C8" s="3" t="s">
        <x:v>146</x:v>
      </x:c>
      <x:c r="D8" s="3" t="s">
        <x:v>147</x:v>
      </x:c>
      <x:c r="E8" s="3" t="s">
        <x:v>136</x:v>
      </x:c>
      <x:c r="F8" s="3" t="s">
        <x:v>65</x:v>
      </x:c>
      <x:c r="G8" s="3" t="s">
        <x:v>138</x:v>
      </x:c>
      <x:c r="H8" s="3" t="s">
        <x:v>148</x:v>
      </x:c>
      <x:c r="I8" s="3" t="s">
        <x:v>140</x:v>
      </x:c>
    </x:row>
    <x:row r="9" ht="54.95000076293945" customHeight="1">
      <x:c r="A9" s="3" t="s">
        <x:v>149</x:v>
      </x:c>
      <x:c r="B9" s="3" t="s">
        <x:v>142</x:v>
      </x:c>
      <x:c r="C9" s="3" t="s">
        <x:v>150</x:v>
      </x:c>
      <x:c r="D9" s="3" t="s">
        <x:v>147</x:v>
      </x:c>
      <x:c r="E9" s="3" t="s">
        <x:v>147</x:v>
      </x:c>
      <x:c r="F9" s="3" t="s">
        <x:v>46</x:v>
      </x:c>
      <x:c r="G9" s="3" t="s">
        <x:v>151</x:v>
      </x:c>
      <x:c r="H9" s="3" t="s">
        <x:v>152</x:v>
      </x:c>
      <x:c r="I9" s="3" t="s">
        <x:v>153</x:v>
      </x:c>
    </x:row>
    <x:row r="10" ht="54.95000076293945" customHeight="1">
      <x:c r="A10" s="3" t="s">
        <x:v>154</x:v>
      </x:c>
      <x:c r="B10" s="3" t="s">
        <x:v>142</x:v>
      </x:c>
      <x:c r="C10" s="3" t="s">
        <x:v>155</x:v>
      </x:c>
      <x:c r="D10" s="3" t="s">
        <x:v>156</x:v>
      </x:c>
      <x:c r="E10" s="3" t="s">
        <x:v>147</x:v>
      </x:c>
      <x:c r="F10" s="3" t="s">
        <x:v>81</x:v>
      </x:c>
      <x:c r="G10" s="3" t="s">
        <x:v>157</x:v>
      </x:c>
      <x:c r="H10" s="3" t="s">
        <x:v>158</x:v>
      </x:c>
      <x:c r="I10" s="3" t="s">
        <x:v>153</x:v>
      </x:c>
    </x:row>
    <x:row r="11">
      <x:c r="A11" s="1"/>
      <x:c r="B11" s="1"/>
      <x:c r="C11" s="1"/>
      <x:c r="D11" s="1"/>
      <x:c r="E11" s="1"/>
      <x:c r="F11" s="1"/>
      <x:c r="G11" s="1"/>
      <x:c r="H11" s="1"/>
      <x:c r="I11" s="1"/>
    </x:row>
    <x:row r="12">
      <x:c r="A12" s="1"/>
      <x:c r="B12" s="1"/>
      <x:c r="C12" s="1"/>
      <x:c r="D12" s="1"/>
      <x:c r="E12" s="1"/>
      <x:c r="F12" s="1"/>
      <x:c r="G12" s="1"/>
      <x:c r="H12" s="1"/>
      <x:c r="I12" s="1"/>
    </x:row>
    <x:row r="13">
      <x:c r="A13" s="1"/>
      <x:c r="B13" s="1"/>
      <x:c r="C13" s="1"/>
      <x:c r="D13" s="1"/>
      <x:c r="E13" s="1"/>
      <x:c r="F13" s="1"/>
      <x:c r="G13" s="1"/>
      <x:c r="H13" s="1"/>
      <x:c r="I13" s="1"/>
    </x:row>
    <x:row r="14">
      <x:c r="A14" s="1"/>
      <x:c r="B14" s="1"/>
      <x:c r="C14" s="1"/>
      <x:c r="D14" s="1"/>
      <x:c r="E14" s="1"/>
      <x:c r="F14" s="1"/>
      <x:c r="G14" s="1"/>
      <x:c r="H14" s="1"/>
      <x:c r="I14" s="1"/>
    </x:row>
    <x:row r="15">
      <x:c r="A15" s="1"/>
      <x:c r="B15" s="1"/>
      <x:c r="C15" s="1"/>
      <x:c r="D15" s="1"/>
      <x:c r="E15" s="1"/>
      <x:c r="F15" s="1"/>
      <x:c r="G15" s="1"/>
      <x:c r="H15" s="1"/>
      <x:c r="I15" s="1"/>
    </x:row>
    <x:row r="16">
      <x:c r="A16" s="1"/>
      <x:c r="B16" s="1"/>
      <x:c r="C16" s="1"/>
      <x:c r="D16" s="1"/>
      <x:c r="E16" s="1"/>
      <x:c r="F16" s="1"/>
      <x:c r="G16" s="1"/>
      <x:c r="H16" s="1"/>
      <x:c r="I16" s="1"/>
    </x:row>
    <x:row r="17">
      <x:c r="A17" s="1"/>
      <x:c r="B17" s="1"/>
      <x:c r="C17" s="1"/>
      <x:c r="D17" s="1"/>
      <x:c r="E17" s="1"/>
      <x:c r="F17" s="1"/>
      <x:c r="G17" s="1"/>
      <x:c r="H17" s="1"/>
      <x:c r="I17" s="1"/>
    </x:row>
    <x:row r="18">
      <x:c r="A18" s="1"/>
      <x:c r="B18" s="1"/>
      <x:c r="C18" s="1"/>
      <x:c r="D18" s="1"/>
      <x:c r="E18" s="1"/>
      <x:c r="F18" s="1"/>
      <x:c r="G18" s="1"/>
      <x:c r="H18" s="1"/>
      <x:c r="I18" s="1"/>
    </x:row>
    <x:row r="19">
      <x:c r="A19" s="1"/>
      <x:c r="B19" s="1"/>
      <x:c r="C19" s="1"/>
      <x:c r="D19" s="1"/>
      <x:c r="E19" s="1"/>
      <x:c r="F19" s="1"/>
      <x:c r="G19" s="1"/>
      <x:c r="H19" s="1"/>
      <x:c r="I19" s="1"/>
    </x:row>
    <x:row r="20">
      <x:c r="A20" s="1"/>
      <x:c r="B20" s="1"/>
      <x:c r="C20" s="1"/>
      <x:c r="D20" s="1"/>
      <x:c r="E20" s="1"/>
      <x:c r="F20" s="1"/>
      <x:c r="G20" s="1"/>
      <x:c r="H20" s="1"/>
      <x:c r="I20" s="1"/>
    </x:row>
    <x:row r="21">
      <x:c r="A21" s="1"/>
      <x:c r="B21" s="1"/>
      <x:c r="C21" s="1"/>
      <x:c r="D21" s="1"/>
      <x:c r="E21" s="1"/>
      <x:c r="F21" s="1"/>
      <x:c r="G21" s="1"/>
      <x:c r="H21" s="1"/>
      <x:c r="I21" s="1"/>
    </x:row>
    <x:row r="22">
      <x:c r="A22" s="1"/>
      <x:c r="B22" s="1"/>
      <x:c r="C22" s="1"/>
      <x:c r="D22" s="1"/>
      <x:c r="E22" s="1"/>
      <x:c r="F22" s="1"/>
      <x:c r="G22" s="1"/>
      <x:c r="H22" s="1"/>
      <x:c r="I22" s="1"/>
    </x:row>
    <x:row r="23">
      <x:c r="A23" s="1"/>
      <x:c r="B23" s="1"/>
      <x:c r="C23" s="1"/>
      <x:c r="D23" s="1"/>
      <x:c r="E23" s="1"/>
      <x:c r="F23" s="1"/>
      <x:c r="G23" s="1"/>
      <x:c r="H23" s="1"/>
      <x:c r="I23" s="1"/>
    </x:row>
    <x:row r="24">
      <x:c r="A24" s="1"/>
      <x:c r="B24" s="1"/>
      <x:c r="C24" s="1"/>
      <x:c r="D24" s="1"/>
      <x:c r="E24" s="1"/>
      <x:c r="F24" s="1"/>
      <x:c r="G24" s="1"/>
      <x:c r="H24" s="1"/>
      <x:c r="I24" s="1"/>
    </x:row>
    <x:row r="25">
      <x:c r="A25" s="1"/>
      <x:c r="B25" s="1"/>
      <x:c r="C25" s="1"/>
      <x:c r="D25" s="1"/>
      <x:c r="E25" s="1"/>
      <x:c r="F25" s="1"/>
      <x:c r="G25" s="1"/>
      <x:c r="H25" s="1"/>
      <x:c r="I25" s="1"/>
    </x:row>
    <x:row r="26">
      <x:c r="A26" s="1"/>
      <x:c r="B26" s="1"/>
      <x:c r="C26" s="1"/>
      <x:c r="D26" s="1"/>
      <x:c r="E26" s="1"/>
      <x:c r="F26" s="1"/>
      <x:c r="G26" s="1"/>
      <x:c r="H26" s="1"/>
      <x:c r="I26" s="1"/>
    </x:row>
    <x:row r="27">
      <x:c r="A27" s="1"/>
      <x:c r="B27" s="1"/>
      <x:c r="C27" s="1"/>
      <x:c r="D27" s="1"/>
      <x:c r="E27" s="1"/>
      <x:c r="F27" s="1"/>
      <x:c r="G27" s="1"/>
      <x:c r="H27" s="1"/>
      <x:c r="I27" s="1"/>
    </x:row>
    <x:row r="28">
      <x:c r="A28" s="1"/>
      <x:c r="B28" s="1"/>
      <x:c r="C28" s="1"/>
      <x:c r="D28" s="1"/>
      <x:c r="E28" s="1"/>
      <x:c r="F28" s="1"/>
      <x:c r="G28" s="1"/>
      <x:c r="H28" s="1"/>
      <x:c r="I28" s="1"/>
    </x:row>
    <x:row r="29">
      <x:c r="A29" s="1"/>
      <x:c r="B29" s="1"/>
      <x:c r="C29" s="1"/>
      <x:c r="D29" s="1"/>
      <x:c r="E29" s="1"/>
      <x:c r="F29" s="1"/>
      <x:c r="G29" s="1"/>
      <x:c r="H29" s="1"/>
      <x:c r="I29" s="1"/>
    </x:row>
    <x:row r="30">
      <x:c r="A30" s="1"/>
      <x:c r="B30" s="1"/>
      <x:c r="C30" s="1"/>
      <x:c r="D30" s="1"/>
      <x:c r="E30" s="1"/>
      <x:c r="F30" s="1"/>
      <x:c r="G30" s="1"/>
      <x:c r="H30" s="1"/>
      <x:c r="I30" s="1"/>
    </x:row>
    <x:row r="31">
      <x:c r="A31" s="1"/>
      <x:c r="B31" s="1"/>
      <x:c r="C31" s="1"/>
      <x:c r="D31" s="1"/>
      <x:c r="E31" s="1"/>
      <x:c r="F31" s="1"/>
      <x:c r="G31" s="1"/>
      <x:c r="H31" s="1"/>
      <x:c r="I31" s="1"/>
    </x:row>
    <x:row r="32">
      <x:c r="A32" s="1"/>
      <x:c r="B32" s="1"/>
      <x:c r="C32" s="1"/>
      <x:c r="D32" s="1"/>
      <x:c r="E32" s="1"/>
      <x:c r="F32" s="1"/>
      <x:c r="G32" s="1"/>
      <x:c r="H32" s="1"/>
      <x:c r="I32" s="1"/>
    </x:row>
    <x:row r="33">
      <x:c r="A33" s="1"/>
      <x:c r="B33" s="1"/>
      <x:c r="C33" s="1"/>
      <x:c r="D33" s="1"/>
      <x:c r="E33" s="1"/>
      <x:c r="F33" s="1"/>
      <x:c r="G33" s="1"/>
      <x:c r="H33" s="1"/>
      <x:c r="I33" s="1"/>
    </x:row>
    <x:row r="34">
      <x:c r="A34" s="1"/>
      <x:c r="B34" s="1"/>
      <x:c r="C34" s="1"/>
      <x:c r="D34" s="1"/>
      <x:c r="E34" s="1"/>
      <x:c r="F34" s="1"/>
      <x:c r="G34" s="1"/>
      <x:c r="H34" s="1"/>
      <x:c r="I34" s="1"/>
    </x:row>
    <x:row r="35">
      <x:c r="A35" s="1"/>
      <x:c r="B35" s="1"/>
      <x:c r="C35" s="1"/>
      <x:c r="D35" s="1"/>
      <x:c r="E35" s="1"/>
      <x:c r="F35" s="1"/>
      <x:c r="G35" s="1"/>
      <x:c r="H35" s="1"/>
      <x:c r="I35" s="1"/>
    </x:row>
  </x:sheetData>
  <x:mergeCells>
    <x:mergeCell ref="A1:I2"/>
    <x:mergeCell ref="A3:I3"/>
  </x:mergeCells>
  <x:conditionalFormatting sqref="I6:I10">
    <x:cfRule type="expression" dxfId="15" priority="1">
      <x:formula>I6="Yes"</x:formula>
    </x:cfRule>
  </x:conditionalFormatting>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4.25"/>
  <x:cols>
    <x:col min="1" max="1" width="16" customWidth="1"/>
    <x:col min="2" max="2" width="18" customWidth="1"/>
    <x:col min="3" max="3" width="34" customWidth="1"/>
    <x:col min="4" max="4" width="38" customWidth="1"/>
    <x:col min="5" max="6" width="21" customWidth="1"/>
    <x:col min="7" max="8" width="19" customWidth="1"/>
    <x:col min="9" max="9" width="48" customWidth="1"/>
  </x:cols>
  <x:sheetData>
    <x:row r="1" ht="23.100000381469727" customHeight="1">
      <x:c r="A1" s="67" t="s">
        <x:v>159</x:v>
      </x:c>
      <x:c r="B1" s="67"/>
      <x:c r="C1" s="67"/>
      <x:c r="D1" s="67"/>
      <x:c r="E1" s="67"/>
      <x:c r="F1" s="67"/>
      <x:c r="G1" s="67"/>
      <x:c r="H1" s="67"/>
      <x:c r="I1" s="67"/>
    </x:row>
    <x:row r="2" ht="23.100000381469727" customHeight="1">
      <x:c r="A2" s="67"/>
      <x:c r="B2" s="67"/>
      <x:c r="C2" s="67"/>
      <x:c r="D2" s="67"/>
      <x:c r="E2" s="67"/>
      <x:c r="F2" s="67"/>
      <x:c r="G2" s="67"/>
      <x:c r="H2" s="67"/>
      <x:c r="I2" s="67"/>
    </x:row>
    <x:row r="3" ht="23.100000381469727" customHeight="1">
      <x:c r="A3" s="68" t="s">
        <x:v>160</x:v>
      </x:c>
      <x:c r="B3" s="68"/>
      <x:c r="C3" s="68"/>
      <x:c r="D3" s="68"/>
      <x:c r="E3" s="68"/>
      <x:c r="F3" s="68"/>
      <x:c r="G3" s="68"/>
      <x:c r="H3" s="68"/>
      <x:c r="I3" s="68"/>
    </x:row>
    <x:row r="4">
      <x:c r="A4" s="1"/>
      <x:c r="B4" s="1"/>
      <x:c r="C4" s="1"/>
      <x:c r="D4" s="1"/>
      <x:c r="E4" s="1"/>
      <x:c r="F4" s="1"/>
      <x:c r="G4" s="1"/>
      <x:c r="H4" s="1"/>
      <x:c r="I4" s="1"/>
    </x:row>
    <x:row r="5" ht="30" customHeight="1">
      <x:c r="A5" s="5" t="s">
        <x:v>161</x:v>
      </x:c>
      <x:c r="B5" s="5" t="s">
        <x:v>162</x:v>
      </x:c>
      <x:c r="C5" s="5" t="s">
        <x:v>163</x:v>
      </x:c>
      <x:c r="D5" s="5" t="s">
        <x:v>164</x:v>
      </x:c>
      <x:c r="E5" s="5" t="s">
        <x:v>165</x:v>
      </x:c>
      <x:c r="F5" s="5" t="s">
        <x:v>166</x:v>
      </x:c>
      <x:c r="G5" s="5" t="s">
        <x:v>167</x:v>
      </x:c>
      <x:c r="H5" s="5" t="s">
        <x:v>168</x:v>
      </x:c>
      <x:c r="I5" s="5" t="s">
        <x:v>169</x:v>
      </x:c>
    </x:row>
    <x:row r="6" ht="68.0999984741211" customHeight="1">
      <x:c r="A6" s="3" t="s">
        <x:v>170</x:v>
      </x:c>
      <x:c r="B6" s="6">
        <x:v>46335</x:v>
      </x:c>
      <x:c r="C6" s="3" t="s">
        <x:v>171</x:v>
      </x:c>
      <x:c r="D6" s="3" t="s">
        <x:v>172</x:v>
      </x:c>
      <x:c r="E6" s="8">
        <x:v>900</x:v>
      </x:c>
      <x:c r="F6" s="3">
        <x:v>2</x:v>
      </x:c>
      <x:c r="G6" s="3" t="s">
        <x:v>173</x:v>
      </x:c>
      <x:c r="H6" s="3" t="s">
        <x:v>174</x:v>
      </x:c>
      <x:c r="I6" s="3" t="s">
        <x:v>175</x:v>
      </x:c>
    </x:row>
    <x:row r="7" ht="68.0999984741211" customHeight="1">
      <x:c r="A7" s="3" t="s">
        <x:v>176</x:v>
      </x:c>
      <x:c r="B7" s="6">
        <x:v>46336</x:v>
      </x:c>
      <x:c r="C7" s="3" t="s">
        <x:v>177</x:v>
      </x:c>
      <x:c r="D7" s="3" t="s">
        <x:v>178</x:v>
      </x:c>
      <x:c r="E7" s="8">
        <x:v>325</x:v>
      </x:c>
      <x:c r="F7" s="3">
        <x:v>0</x:v>
      </x:c>
      <x:c r="G7" s="3" t="s">
        <x:v>173</x:v>
      </x:c>
      <x:c r="H7" s="3" t="s">
        <x:v>179</x:v>
      </x:c>
      <x:c r="I7" s="3" t="s">
        <x:v>180</x:v>
      </x:c>
    </x:row>
    <x:row r="8">
      <x:c r="A8" s="1"/>
      <x:c r="B8" s="1"/>
      <x:c r="C8" s="1"/>
      <x:c r="D8" s="1"/>
      <x:c r="E8" s="1"/>
      <x:c r="F8" s="1"/>
      <x:c r="G8" s="1"/>
      <x:c r="H8" s="1"/>
      <x:c r="I8" s="1"/>
    </x:row>
    <x:row r="9">
      <x:c r="A9" s="1"/>
      <x:c r="B9" s="1"/>
      <x:c r="C9" s="1"/>
      <x:c r="D9" s="1"/>
      <x:c r="E9" s="1"/>
      <x:c r="F9" s="1"/>
      <x:c r="G9" s="1"/>
      <x:c r="H9" s="1"/>
      <x:c r="I9" s="1"/>
    </x:row>
    <x:row r="10" ht="15">
      <x:c r="A10" s="69" t="s">
        <x:v>181</x:v>
      </x:c>
      <x:c r="B10" s="69"/>
      <x:c r="C10" s="69"/>
      <x:c r="D10" s="69"/>
      <x:c r="E10" s="69"/>
      <x:c r="F10" s="69"/>
      <x:c r="G10" s="69"/>
      <x:c r="H10" s="69"/>
      <x:c r="I10" s="69"/>
    </x:row>
    <x:row r="11" ht="45" customHeight="1">
      <x:c r="A11" s="75" t="s">
        <x:v>182</x:v>
      </x:c>
      <x:c r="B11" s="75"/>
      <x:c r="C11" s="75" t="s">
        <x:v>183</x:v>
      </x:c>
      <x:c r="D11" s="75"/>
      <x:c r="E11" s="75"/>
      <x:c r="F11" s="75"/>
      <x:c r="G11" s="75"/>
      <x:c r="H11" s="75"/>
      <x:c r="I11" s="75"/>
    </x:row>
    <x:row r="12" ht="45" customHeight="1">
      <x:c r="A12" s="80" t="s">
        <x:v>184</x:v>
      </x:c>
      <x:c r="B12" s="80"/>
      <x:c r="C12" s="80" t="s">
        <x:v>185</x:v>
      </x:c>
      <x:c r="D12" s="80"/>
      <x:c r="E12" s="80"/>
      <x:c r="F12" s="80"/>
      <x:c r="G12" s="80"/>
      <x:c r="H12" s="80"/>
      <x:c r="I12" s="80"/>
    </x:row>
    <x:row r="13" ht="45" customHeight="1">
      <x:c r="A13" s="75" t="s">
        <x:v>186</x:v>
      </x:c>
      <x:c r="B13" s="75"/>
      <x:c r="C13" s="75" t="s">
        <x:v>187</x:v>
      </x:c>
      <x:c r="D13" s="75"/>
      <x:c r="E13" s="75"/>
      <x:c r="F13" s="75"/>
      <x:c r="G13" s="75"/>
      <x:c r="H13" s="75"/>
      <x:c r="I13" s="75"/>
    </x:row>
    <x:row r="14" ht="45" customHeight="1">
      <x:c r="A14" s="80" t="s">
        <x:v>188</x:v>
      </x:c>
      <x:c r="B14" s="80"/>
      <x:c r="C14" s="80" t="s">
        <x:v>189</x:v>
      </x:c>
      <x:c r="D14" s="80"/>
      <x:c r="E14" s="80"/>
      <x:c r="F14" s="80"/>
      <x:c r="G14" s="80"/>
      <x:c r="H14" s="80"/>
      <x:c r="I14" s="80"/>
    </x:row>
    <x:row r="15">
      <x:c r="A15" s="1"/>
      <x:c r="B15" s="1"/>
      <x:c r="C15" s="1"/>
      <x:c r="D15" s="1"/>
      <x:c r="E15" s="1"/>
      <x:c r="F15" s="1"/>
      <x:c r="G15" s="1"/>
      <x:c r="H15" s="1"/>
      <x:c r="I15" s="1"/>
    </x:row>
    <x:row r="16">
      <x:c r="A16" s="1"/>
      <x:c r="B16" s="1"/>
      <x:c r="C16" s="1"/>
      <x:c r="D16" s="1"/>
      <x:c r="E16" s="1"/>
      <x:c r="F16" s="1"/>
      <x:c r="G16" s="1"/>
      <x:c r="H16" s="1"/>
      <x:c r="I16" s="1"/>
    </x:row>
    <x:row r="17">
      <x:c r="A17" s="1"/>
      <x:c r="B17" s="1"/>
      <x:c r="C17" s="1"/>
      <x:c r="D17" s="1"/>
      <x:c r="E17" s="1"/>
      <x:c r="F17" s="1"/>
      <x:c r="G17" s="1"/>
      <x:c r="H17" s="1"/>
      <x:c r="I17" s="1"/>
    </x:row>
    <x:row r="18">
      <x:c r="A18" s="1"/>
      <x:c r="B18" s="1"/>
      <x:c r="C18" s="1"/>
      <x:c r="D18" s="1"/>
      <x:c r="E18" s="1"/>
      <x:c r="F18" s="1"/>
      <x:c r="G18" s="1"/>
      <x:c r="H18" s="1"/>
      <x:c r="I18" s="1"/>
    </x:row>
    <x:row r="19">
      <x:c r="A19" s="1"/>
      <x:c r="B19" s="1"/>
      <x:c r="C19" s="1"/>
      <x:c r="D19" s="1"/>
      <x:c r="E19" s="1"/>
      <x:c r="F19" s="1"/>
      <x:c r="G19" s="1"/>
      <x:c r="H19" s="1"/>
      <x:c r="I19" s="1"/>
    </x:row>
    <x:row r="20">
      <x:c r="A20" s="1"/>
      <x:c r="B20" s="1"/>
      <x:c r="C20" s="1"/>
      <x:c r="D20" s="1"/>
      <x:c r="E20" s="1"/>
      <x:c r="F20" s="1"/>
      <x:c r="G20" s="1"/>
      <x:c r="H20" s="1"/>
      <x:c r="I20" s="1"/>
    </x:row>
    <x:row r="21">
      <x:c r="A21" s="1"/>
      <x:c r="B21" s="1"/>
      <x:c r="C21" s="1"/>
      <x:c r="D21" s="1"/>
      <x:c r="E21" s="1"/>
      <x:c r="F21" s="1"/>
      <x:c r="G21" s="1"/>
      <x:c r="H21" s="1"/>
      <x:c r="I21" s="1"/>
    </x:row>
    <x:row r="22">
      <x:c r="A22" s="1"/>
      <x:c r="B22" s="1"/>
      <x:c r="C22" s="1"/>
      <x:c r="D22" s="1"/>
      <x:c r="E22" s="1"/>
      <x:c r="F22" s="1"/>
      <x:c r="G22" s="1"/>
      <x:c r="H22" s="1"/>
      <x:c r="I22" s="1"/>
    </x:row>
    <x:row r="23">
      <x:c r="A23" s="1"/>
      <x:c r="B23" s="1"/>
      <x:c r="C23" s="1"/>
      <x:c r="D23" s="1"/>
      <x:c r="E23" s="1"/>
      <x:c r="F23" s="1"/>
      <x:c r="G23" s="1"/>
      <x:c r="H23" s="1"/>
      <x:c r="I23" s="1"/>
    </x:row>
    <x:row r="24">
      <x:c r="A24" s="1"/>
      <x:c r="B24" s="1"/>
      <x:c r="C24" s="1"/>
      <x:c r="D24" s="1"/>
      <x:c r="E24" s="1"/>
      <x:c r="F24" s="1"/>
      <x:c r="G24" s="1"/>
      <x:c r="H24" s="1"/>
      <x:c r="I24" s="1"/>
    </x:row>
    <x:row r="25">
      <x:c r="A25" s="1"/>
      <x:c r="B25" s="1"/>
      <x:c r="C25" s="1"/>
      <x:c r="D25" s="1"/>
      <x:c r="E25" s="1"/>
      <x:c r="F25" s="1"/>
      <x:c r="G25" s="1"/>
      <x:c r="H25" s="1"/>
      <x:c r="I25" s="1"/>
    </x:row>
    <x:row r="26">
      <x:c r="A26" s="1"/>
      <x:c r="B26" s="1"/>
      <x:c r="C26" s="1"/>
      <x:c r="D26" s="1"/>
      <x:c r="E26" s="1"/>
      <x:c r="F26" s="1"/>
      <x:c r="G26" s="1"/>
      <x:c r="H26" s="1"/>
      <x:c r="I26" s="1"/>
    </x:row>
    <x:row r="27">
      <x:c r="A27" s="1"/>
      <x:c r="B27" s="1"/>
      <x:c r="C27" s="1"/>
      <x:c r="D27" s="1"/>
      <x:c r="E27" s="1"/>
      <x:c r="F27" s="1"/>
      <x:c r="G27" s="1"/>
      <x:c r="H27" s="1"/>
      <x:c r="I27" s="1"/>
    </x:row>
    <x:row r="28">
      <x:c r="A28" s="1"/>
      <x:c r="B28" s="1"/>
      <x:c r="C28" s="1"/>
      <x:c r="D28" s="1"/>
      <x:c r="E28" s="1"/>
      <x:c r="F28" s="1"/>
      <x:c r="G28" s="1"/>
      <x:c r="H28" s="1"/>
      <x:c r="I28" s="1"/>
    </x:row>
    <x:row r="29">
      <x:c r="A29" s="1"/>
      <x:c r="B29" s="1"/>
      <x:c r="C29" s="1"/>
      <x:c r="D29" s="1"/>
      <x:c r="E29" s="1"/>
      <x:c r="F29" s="1"/>
      <x:c r="G29" s="1"/>
      <x:c r="H29" s="1"/>
      <x:c r="I29" s="1"/>
    </x:row>
    <x:row r="30">
      <x:c r="A30" s="1"/>
      <x:c r="B30" s="1"/>
      <x:c r="C30" s="1"/>
      <x:c r="D30" s="1"/>
      <x:c r="E30" s="1"/>
      <x:c r="F30" s="1"/>
      <x:c r="G30" s="1"/>
      <x:c r="H30" s="1"/>
      <x:c r="I30" s="1"/>
    </x:row>
    <x:row r="31">
      <x:c r="A31" s="1"/>
      <x:c r="B31" s="1"/>
      <x:c r="C31" s="1"/>
      <x:c r="D31" s="1"/>
      <x:c r="E31" s="1"/>
      <x:c r="F31" s="1"/>
      <x:c r="G31" s="1"/>
      <x:c r="H31" s="1"/>
      <x:c r="I31" s="1"/>
    </x:row>
    <x:row r="32">
      <x:c r="A32" s="1"/>
      <x:c r="B32" s="1"/>
      <x:c r="C32" s="1"/>
      <x:c r="D32" s="1"/>
      <x:c r="E32" s="1"/>
      <x:c r="F32" s="1"/>
      <x:c r="G32" s="1"/>
      <x:c r="H32" s="1"/>
      <x:c r="I32" s="1"/>
    </x:row>
    <x:row r="33">
      <x:c r="A33" s="1"/>
      <x:c r="B33" s="1"/>
      <x:c r="C33" s="1"/>
      <x:c r="D33" s="1"/>
      <x:c r="E33" s="1"/>
      <x:c r="F33" s="1"/>
      <x:c r="G33" s="1"/>
      <x:c r="H33" s="1"/>
      <x:c r="I33" s="1"/>
    </x:row>
    <x:row r="34">
      <x:c r="A34" s="1"/>
      <x:c r="B34" s="1"/>
      <x:c r="C34" s="1"/>
      <x:c r="D34" s="1"/>
      <x:c r="E34" s="1"/>
      <x:c r="F34" s="1"/>
      <x:c r="G34" s="1"/>
      <x:c r="H34" s="1"/>
      <x:c r="I34" s="1"/>
    </x:row>
    <x:row r="35">
      <x:c r="A35" s="1"/>
      <x:c r="B35" s="1"/>
      <x:c r="C35" s="1"/>
      <x:c r="D35" s="1"/>
      <x:c r="E35" s="1"/>
      <x:c r="F35" s="1"/>
      <x:c r="G35" s="1"/>
      <x:c r="H35" s="1"/>
      <x:c r="I35" s="1"/>
    </x:row>
  </x:sheetData>
  <x:mergeCells>
    <x:mergeCell ref="A12:B12"/>
    <x:mergeCell ref="C12:I12"/>
    <x:mergeCell ref="A13:B13"/>
    <x:mergeCell ref="C13:I13"/>
    <x:mergeCell ref="A14:B14"/>
    <x:mergeCell ref="C14:I14"/>
    <x:mergeCell ref="A1:I2"/>
    <x:mergeCell ref="A3:I3"/>
    <x:mergeCell ref="A10:I10"/>
    <x:mergeCell ref="A11:B11"/>
    <x:mergeCell ref="C11:I11"/>
  </x:mergeCells>
  <x:dataValidations count="1">
    <x:dataValidation type="list" sqref="H6:H30">
      <x:formula1>"Pending,In review,Approved,Rejected,Withdrawn"</x:formula1>
    </x:dataValidation>
  </x:dataValidations>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4.25"/>
  <x:cols>
    <x:col min="1" max="1" width="17" customWidth="1"/>
    <x:col min="2" max="3" width="23" customWidth="1"/>
    <x:col min="4" max="4" width="60" customWidth="1"/>
    <x:col min="5" max="8" width="18" customWidth="1"/>
  </x:cols>
  <x:sheetData>
    <x:row r="1" ht="23.100000381469727" customHeight="1">
      <x:c r="A1" s="67" t="s">
        <x:v>190</x:v>
      </x:c>
      <x:c r="B1" s="67"/>
      <x:c r="C1" s="67"/>
      <x:c r="D1" s="67"/>
      <x:c r="E1" s="67"/>
      <x:c r="F1" s="67"/>
      <x:c r="G1" s="67"/>
      <x:c r="H1" s="67"/>
    </x:row>
    <x:row r="2" ht="23.100000381469727" customHeight="1">
      <x:c r="A2" s="67"/>
      <x:c r="B2" s="67"/>
      <x:c r="C2" s="67"/>
      <x:c r="D2" s="67"/>
      <x:c r="E2" s="67"/>
      <x:c r="F2" s="67"/>
      <x:c r="G2" s="67"/>
      <x:c r="H2" s="67"/>
    </x:row>
    <x:row r="3" ht="23.100000381469727" customHeight="1">
      <x:c r="A3" s="68" t="s">
        <x:v>191</x:v>
      </x:c>
      <x:c r="B3" s="68"/>
      <x:c r="C3" s="68"/>
      <x:c r="D3" s="68"/>
      <x:c r="E3" s="68"/>
      <x:c r="F3" s="68"/>
      <x:c r="G3" s="68"/>
      <x:c r="H3" s="68"/>
    </x:row>
    <x:row r="4">
      <x:c r="A4" s="1"/>
      <x:c r="B4" s="1"/>
      <x:c r="C4" s="1"/>
      <x:c r="D4" s="1"/>
      <x:c r="E4" s="1"/>
      <x:c r="F4" s="1"/>
      <x:c r="G4" s="1"/>
      <x:c r="H4" s="1"/>
    </x:row>
    <x:row r="5" ht="30" customHeight="1">
      <x:c r="A5" s="5" t="s">
        <x:v>192</x:v>
      </x:c>
      <x:c r="B5" s="5" t="s">
        <x:v>193</x:v>
      </x:c>
      <x:c r="C5" s="5" t="s">
        <x:v>194</x:v>
      </x:c>
      <x:c r="D5" s="5" t="s">
        <x:v>195</x:v>
      </x:c>
      <x:c r="E5" s="5" t="s">
        <x:v>36</x:v>
      </x:c>
      <x:c r="F5" s="5" t="s">
        <x:v>196</x:v>
      </x:c>
      <x:c r="G5" s="5" t="s">
        <x:v>35</x:v>
      </x:c>
      <x:c r="H5" s="5" t="s">
        <x:v>197</x:v>
      </x:c>
    </x:row>
    <x:row r="6" ht="63.95000076293945" customHeight="1">
      <x:c r="A6" s="6">
        <x:v>46328</x:v>
      </x:c>
      <x:c r="B6" s="3" t="s">
        <x:v>198</x:v>
      </x:c>
      <x:c r="C6" s="3" t="s">
        <x:v>199</x:v>
      </x:c>
      <x:c r="D6" s="3" t="s">
        <x:v>200</x:v>
      </x:c>
      <x:c r="E6" s="3" t="s">
        <x:v>46</x:v>
      </x:c>
      <x:c r="F6" s="6">
        <x:v>46329</x:v>
      </x:c>
      <x:c r="G6" s="3" t="s">
        <x:v>201</x:v>
      </x:c>
      <x:c r="H6" s="3" t="s">
        <x:v>140</x:v>
      </x:c>
    </x:row>
    <x:row r="7" ht="63.95000076293945" customHeight="1">
      <x:c r="A7" s="6">
        <x:v>46332</x:v>
      </x:c>
      <x:c r="B7" s="3" t="s">
        <x:v>202</x:v>
      </x:c>
      <x:c r="C7" s="3" t="s">
        <x:v>203</x:v>
      </x:c>
      <x:c r="D7" s="3" t="s">
        <x:v>204</x:v>
      </x:c>
      <x:c r="E7" s="3" t="s">
        <x:v>46</x:v>
      </x:c>
      <x:c r="F7" s="6">
        <x:v>46333</x:v>
      </x:c>
      <x:c r="G7" s="3" t="s">
        <x:v>201</x:v>
      </x:c>
      <x:c r="H7" s="3" t="s">
        <x:v>205</x:v>
      </x:c>
    </x:row>
    <x:row r="8" ht="63.95000076293945" customHeight="1">
      <x:c r="A8" s="6">
        <x:v>46335</x:v>
      </x:c>
      <x:c r="B8" s="3" t="s">
        <x:v>206</x:v>
      </x:c>
      <x:c r="C8" s="3" t="s">
        <x:v>207</x:v>
      </x:c>
      <x:c r="D8" s="3" t="s">
        <x:v>208</x:v>
      </x:c>
      <x:c r="E8" s="3" t="s">
        <x:v>46</x:v>
      </x:c>
      <x:c r="F8" s="6">
        <x:v>46336</x:v>
      </x:c>
      <x:c r="G8" s="3" t="s">
        <x:v>59</x:v>
      </x:c>
      <x:c r="H8" s="3" t="s">
        <x:v>209</x:v>
      </x:c>
    </x:row>
    <x:row r="9" ht="63.95000076293945" customHeight="1">
      <x:c r="A9" s="6">
        <x:v>46336</x:v>
      </x:c>
      <x:c r="B9" s="3" t="s">
        <x:v>173</x:v>
      </x:c>
      <x:c r="C9" s="3" t="s">
        <x:v>210</x:v>
      </x:c>
      <x:c r="D9" s="3" t="s">
        <x:v>211</x:v>
      </x:c>
      <x:c r="E9" s="3" t="s">
        <x:v>46</x:v>
      </x:c>
      <x:c r="F9" s="6">
        <x:v>46336</x:v>
      </x:c>
      <x:c r="G9" s="3" t="s">
        <x:v>209</x:v>
      </x:c>
      <x:c r="H9" s="3" t="s">
        <x:v>209</x:v>
      </x:c>
    </x:row>
    <x:row r="10" ht="63.95000076293945" customHeight="1">
      <x:c r="A10" s="6">
        <x:v>46336</x:v>
      </x:c>
      <x:c r="B10" s="3" t="s">
        <x:v>4</x:v>
      </x:c>
      <x:c r="C10" s="3" t="s">
        <x:v>212</x:v>
      </x:c>
      <x:c r="D10" s="3" t="s">
        <x:v>213</x:v>
      </x:c>
      <x:c r="E10" s="3" t="s">
        <x:v>50</x:v>
      </x:c>
      <x:c r="F10" s="6">
        <x:v>46336</x:v>
      </x:c>
      <x:c r="G10" s="3" t="s">
        <x:v>214</x:v>
      </x:c>
      <x:c r="H10" s="3" t="s">
        <x:v>209</x:v>
      </x:c>
    </x:row>
    <x:row r="11">
      <x:c r="A11" s="1"/>
      <x:c r="B11" s="1"/>
      <x:c r="C11" s="1"/>
      <x:c r="D11" s="1"/>
      <x:c r="E11" s="1"/>
      <x:c r="F11" s="1"/>
      <x:c r="G11" s="1"/>
      <x:c r="H11" s="1"/>
    </x:row>
    <x:row r="12">
      <x:c r="A12" s="1"/>
      <x:c r="B12" s="1"/>
      <x:c r="C12" s="1"/>
      <x:c r="D12" s="1"/>
      <x:c r="E12" s="1"/>
      <x:c r="F12" s="1"/>
      <x:c r="G12" s="1"/>
      <x:c r="H12" s="1"/>
    </x:row>
    <x:row r="13" ht="27" customHeight="1">
      <x:c r="A13" s="69" t="s">
        <x:v>215</x:v>
      </x:c>
      <x:c r="B13" s="69"/>
      <x:c r="C13" s="69"/>
      <x:c r="D13" s="69"/>
      <x:c r="E13" s="69"/>
      <x:c r="F13" s="69"/>
      <x:c r="G13" s="69"/>
      <x:c r="H13" s="69"/>
    </x:row>
    <x:row r="14" ht="33" customHeight="1">
      <x:c r="A14" s="81" t="s">
        <x:v>216</x:v>
      </x:c>
      <x:c r="B14" s="81"/>
      <x:c r="C14" s="81"/>
      <x:c r="D14" s="81"/>
      <x:c r="E14" s="81"/>
      <x:c r="F14" s="81"/>
      <x:c r="G14" s="81"/>
      <x:c r="H14" s="81"/>
    </x:row>
    <x:row r="15" ht="48" customHeight="1">
      <x:c r="A15" s="82" t="s">
        <x:v>217</x:v>
      </x:c>
      <x:c r="B15" s="82"/>
      <x:c r="C15" s="82"/>
      <x:c r="D15" s="82"/>
      <x:c r="E15" s="82"/>
      <x:c r="F15" s="82"/>
      <x:c r="G15" s="82"/>
      <x:c r="H15" s="82"/>
    </x:row>
    <x:row r="16" ht="48" customHeight="1">
      <x:c r="A16" s="81" t="s">
        <x:v>218</x:v>
      </x:c>
      <x:c r="B16" s="81"/>
      <x:c r="C16" s="81"/>
      <x:c r="D16" s="81"/>
      <x:c r="E16" s="81"/>
      <x:c r="F16" s="81"/>
      <x:c r="G16" s="81"/>
      <x:c r="H16" s="81"/>
    </x:row>
    <x:row r="17" ht="48" customHeight="1">
      <x:c r="A17" s="82" t="s">
        <x:v>219</x:v>
      </x:c>
      <x:c r="B17" s="82"/>
      <x:c r="C17" s="82"/>
      <x:c r="D17" s="82"/>
      <x:c r="E17" s="82"/>
      <x:c r="F17" s="82"/>
      <x:c r="G17" s="82"/>
      <x:c r="H17" s="82"/>
    </x:row>
    <x:row r="18" ht="48" customHeight="1">
      <x:c r="A18" s="81" t="s">
        <x:v>220</x:v>
      </x:c>
      <x:c r="B18" s="81"/>
      <x:c r="C18" s="81"/>
      <x:c r="D18" s="81"/>
      <x:c r="E18" s="81"/>
      <x:c r="F18" s="81"/>
      <x:c r="G18" s="81"/>
      <x:c r="H18" s="81"/>
    </x:row>
    <x:row r="19">
      <x:c r="A19" s="1"/>
      <x:c r="B19" s="1"/>
      <x:c r="C19" s="1"/>
      <x:c r="D19" s="1"/>
      <x:c r="E19" s="1"/>
      <x:c r="F19" s="1"/>
      <x:c r="G19" s="1"/>
      <x:c r="H19" s="1"/>
    </x:row>
    <x:row r="20">
      <x:c r="A20" s="1"/>
      <x:c r="B20" s="1"/>
      <x:c r="C20" s="1"/>
      <x:c r="D20" s="1"/>
      <x:c r="E20" s="1"/>
      <x:c r="F20" s="1"/>
      <x:c r="G20" s="1"/>
      <x:c r="H20" s="1"/>
    </x:row>
    <x:row r="21">
      <x:c r="A21" s="1"/>
      <x:c r="B21" s="1"/>
      <x:c r="C21" s="1"/>
      <x:c r="D21" s="1"/>
      <x:c r="E21" s="1"/>
      <x:c r="F21" s="1"/>
      <x:c r="G21" s="1"/>
      <x:c r="H21" s="1"/>
    </x:row>
    <x:row r="22">
      <x:c r="A22" s="1"/>
      <x:c r="B22" s="1"/>
      <x:c r="C22" s="1"/>
      <x:c r="D22" s="1"/>
      <x:c r="E22" s="1"/>
      <x:c r="F22" s="1"/>
      <x:c r="G22" s="1"/>
      <x:c r="H22" s="1"/>
    </x:row>
    <x:row r="23">
      <x:c r="A23" s="1"/>
      <x:c r="B23" s="1"/>
      <x:c r="C23" s="1"/>
      <x:c r="D23" s="1"/>
      <x:c r="E23" s="1"/>
      <x:c r="F23" s="1"/>
      <x:c r="G23" s="1"/>
      <x:c r="H23" s="1"/>
    </x:row>
    <x:row r="24">
      <x:c r="A24" s="1"/>
      <x:c r="B24" s="1"/>
      <x:c r="C24" s="1"/>
      <x:c r="D24" s="1"/>
      <x:c r="E24" s="1"/>
      <x:c r="F24" s="1"/>
      <x:c r="G24" s="1"/>
      <x:c r="H24" s="1"/>
    </x:row>
    <x:row r="25">
      <x:c r="A25" s="1"/>
      <x:c r="B25" s="1"/>
      <x:c r="C25" s="1"/>
      <x:c r="D25" s="1"/>
      <x:c r="E25" s="1"/>
      <x:c r="F25" s="1"/>
      <x:c r="G25" s="1"/>
      <x:c r="H25" s="1"/>
    </x:row>
    <x:row r="26">
      <x:c r="A26" s="1"/>
      <x:c r="B26" s="1"/>
      <x:c r="C26" s="1"/>
      <x:c r="D26" s="1"/>
      <x:c r="E26" s="1"/>
      <x:c r="F26" s="1"/>
      <x:c r="G26" s="1"/>
      <x:c r="H26" s="1"/>
    </x:row>
    <x:row r="27">
      <x:c r="A27" s="1"/>
      <x:c r="B27" s="1"/>
      <x:c r="C27" s="1"/>
      <x:c r="D27" s="1"/>
      <x:c r="E27" s="1"/>
      <x:c r="F27" s="1"/>
      <x:c r="G27" s="1"/>
      <x:c r="H27" s="1"/>
    </x:row>
    <x:row r="28">
      <x:c r="A28" s="1"/>
      <x:c r="B28" s="1"/>
      <x:c r="C28" s="1"/>
      <x:c r="D28" s="1"/>
      <x:c r="E28" s="1"/>
      <x:c r="F28" s="1"/>
      <x:c r="G28" s="1"/>
      <x:c r="H28" s="1"/>
    </x:row>
    <x:row r="29">
      <x:c r="A29" s="1"/>
      <x:c r="B29" s="1"/>
      <x:c r="C29" s="1"/>
      <x:c r="D29" s="1"/>
      <x:c r="E29" s="1"/>
      <x:c r="F29" s="1"/>
      <x:c r="G29" s="1"/>
      <x:c r="H29" s="1"/>
    </x:row>
    <x:row r="30">
      <x:c r="A30" s="1"/>
      <x:c r="B30" s="1"/>
      <x:c r="C30" s="1"/>
      <x:c r="D30" s="1"/>
      <x:c r="E30" s="1"/>
      <x:c r="F30" s="1"/>
      <x:c r="G30" s="1"/>
      <x:c r="H30" s="1"/>
    </x:row>
    <x:row r="31">
      <x:c r="A31" s="1"/>
      <x:c r="B31" s="1"/>
      <x:c r="C31" s="1"/>
      <x:c r="D31" s="1"/>
      <x:c r="E31" s="1"/>
      <x:c r="F31" s="1"/>
      <x:c r="G31" s="1"/>
      <x:c r="H31" s="1"/>
    </x:row>
    <x:row r="32">
      <x:c r="A32" s="1"/>
      <x:c r="B32" s="1"/>
      <x:c r="C32" s="1"/>
      <x:c r="D32" s="1"/>
      <x:c r="E32" s="1"/>
      <x:c r="F32" s="1"/>
      <x:c r="G32" s="1"/>
      <x:c r="H32" s="1"/>
    </x:row>
    <x:row r="33">
      <x:c r="A33" s="1"/>
      <x:c r="B33" s="1"/>
      <x:c r="C33" s="1"/>
      <x:c r="D33" s="1"/>
      <x:c r="E33" s="1"/>
      <x:c r="F33" s="1"/>
      <x:c r="G33" s="1"/>
      <x:c r="H33" s="1"/>
    </x:row>
    <x:row r="34">
      <x:c r="A34" s="1"/>
      <x:c r="B34" s="1"/>
      <x:c r="C34" s="1"/>
      <x:c r="D34" s="1"/>
      <x:c r="E34" s="1"/>
      <x:c r="F34" s="1"/>
      <x:c r="G34" s="1"/>
      <x:c r="H34" s="1"/>
    </x:row>
    <x:row r="35">
      <x:c r="A35" s="1"/>
      <x:c r="B35" s="1"/>
      <x:c r="C35" s="1"/>
      <x:c r="D35" s="1"/>
      <x:c r="E35" s="1"/>
      <x:c r="F35" s="1"/>
      <x:c r="G35" s="1"/>
      <x:c r="H35" s="1"/>
    </x:row>
  </x:sheetData>
  <x:mergeCells>
    <x:mergeCell ref="A16:H16"/>
    <x:mergeCell ref="A17:H17"/>
    <x:mergeCell ref="A18:H18"/>
    <x:mergeCell ref="A1:H2"/>
    <x:mergeCell ref="A3:H3"/>
    <x:mergeCell ref="A13:H13"/>
    <x:mergeCell ref="A14:H14"/>
    <x:mergeCell ref="A15:H15"/>
  </x:mergeCells>
  <x:pageMargins left="0.7" right="0.7" top="0.75" bottom="0.75" header="0.3" footer="0.3"/>
</x:worksheet>
</file>

<file path=xl/worksheets/sheet7.xml><?xml version="1.0" encoding="utf-8"?>
<x:worksheet xmlns:x="http://schemas.openxmlformats.org/spreadsheetml/2006/main">
  <x:sheetFormatPr defaultRowHeight="14.25"/>
  <x:cols>
    <x:col min="1" max="1" width="26" customWidth="1"/>
    <x:col min="2" max="2" width="45" customWidth="1"/>
    <x:col min="3" max="3" width="80" customWidth="1"/>
    <x:col min="4" max="4" width="33" customWidth="1"/>
    <x:col min="5" max="8" width="14" customWidth="1"/>
  </x:cols>
  <x:sheetData>
    <x:row r="1" ht="23.100000381469727" customHeight="1">
      <x:c r="A1" s="67" t="s">
        <x:v>221</x:v>
      </x:c>
      <x:c r="B1" s="67"/>
      <x:c r="C1" s="67"/>
      <x:c r="D1" s="67"/>
      <x:c r="E1" s="67"/>
      <x:c r="F1" s="67"/>
      <x:c r="G1" s="67"/>
      <x:c r="H1" s="67"/>
    </x:row>
    <x:row r="2" ht="23.100000381469727" customHeight="1">
      <x:c r="A2" s="67"/>
      <x:c r="B2" s="67"/>
      <x:c r="C2" s="67"/>
      <x:c r="D2" s="67"/>
      <x:c r="E2" s="67"/>
      <x:c r="F2" s="67"/>
      <x:c r="G2" s="67"/>
      <x:c r="H2" s="67"/>
    </x:row>
    <x:row r="3" ht="23.100000381469727" customHeight="1">
      <x:c r="A3" s="68" t="str">
        <x:v>Reference sources, model assumptions and transparency statement</x:v>
      </x:c>
      <x:c r="B3" s="68"/>
      <x:c r="C3" s="68"/>
      <x:c r="D3" s="68"/>
      <x:c r="E3" s="68"/>
      <x:c r="F3" s="68"/>
      <x:c r="G3" s="68"/>
      <x:c r="H3" s="68"/>
    </x:row>
    <x:row r="4">
      <x:c r="A4" s="1"/>
      <x:c r="B4" s="1"/>
      <x:c r="C4" s="1"/>
      <x:c r="D4" s="1"/>
      <x:c r="E4" s="1"/>
      <x:c r="F4" s="1"/>
      <x:c r="G4" s="1"/>
      <x:c r="H4" s="1"/>
    </x:row>
    <x:row r="5" ht="30" customHeight="1">
      <x:c r="A5" s="5" t="s">
        <x:v>222</x:v>
      </x:c>
      <x:c r="B5" s="5" t="s">
        <x:v>223</x:v>
      </x:c>
      <x:c r="C5" s="5" t="s">
        <x:v>224</x:v>
      </x:c>
      <x:c r="D5" s="5" t="s">
        <x:v>225</x:v>
      </x:c>
      <x:c r="E5" s="1"/>
      <x:c r="F5" s="1"/>
      <x:c r="G5" s="1"/>
      <x:c r="H5" s="1"/>
    </x:row>
    <x:row r="6" ht="72.94999694824219" customHeight="1">
      <x:c r="A6" s="3" t="s">
        <x:v>226</x:v>
      </x:c>
      <x:c r="B6" s="3" t="s">
        <x:v>227</x:v>
      </x:c>
      <x:c r="C6" s="3" t="s">
        <x:v>228</x:v>
      </x:c>
      <x:c r="D6" s="3" t="s">
        <x:v>229</x:v>
      </x:c>
      <x:c r="E6" s="1"/>
      <x:c r="F6" s="1"/>
      <x:c r="G6" s="1"/>
      <x:c r="H6" s="1"/>
    </x:row>
    <x:row r="7" ht="72.94999694824219" customHeight="1">
      <x:c r="A7" s="3" t="s">
        <x:v>230</x:v>
      </x:c>
      <x:c r="B7" s="3" t="s">
        <x:v>231</x:v>
      </x:c>
      <x:c r="C7" s="3" t="s">
        <x:v>232</x:v>
      </x:c>
      <x:c r="D7" s="3" t="s">
        <x:v>233</x:v>
      </x:c>
      <x:c r="E7" s="1"/>
      <x:c r="F7" s="1"/>
      <x:c r="G7" s="1"/>
      <x:c r="H7" s="1"/>
    </x:row>
    <x:row r="8" ht="72.94999694824219" customHeight="1">
      <x:c r="A8" s="3" t="s">
        <x:v>234</x:v>
      </x:c>
      <x:c r="B8" s="3" t="s">
        <x:v>235</x:v>
      </x:c>
      <x:c r="C8" s="3" t="s">
        <x:v>236</x:v>
      </x:c>
      <x:c r="D8" s="3" t="s">
        <x:v>237</x:v>
      </x:c>
      <x:c r="E8" s="1"/>
      <x:c r="F8" s="1"/>
      <x:c r="G8" s="1"/>
      <x:c r="H8" s="1"/>
    </x:row>
    <x:row r="9" ht="72.94999694824219" customHeight="1">
      <x:c r="A9" s="3" t="s">
        <x:v>238</x:v>
      </x:c>
      <x:c r="B9" s="3" t="s">
        <x:v>239</x:v>
      </x:c>
      <x:c r="C9" s="3" t="s">
        <x:v>240</x:v>
      </x:c>
      <x:c r="D9" s="3" t="s">
        <x:v>241</x:v>
      </x:c>
      <x:c r="E9" s="1"/>
      <x:c r="F9" s="1"/>
      <x:c r="G9" s="1"/>
      <x:c r="H9" s="1"/>
    </x:row>
    <x:row r="10">
      <x:c r="A10" s="1"/>
      <x:c r="B10" s="1"/>
      <x:c r="C10" s="1"/>
      <x:c r="D10" s="1"/>
      <x:c r="E10" s="1"/>
      <x:c r="F10" s="1"/>
      <x:c r="G10" s="1"/>
      <x:c r="H10" s="1"/>
    </x:row>
    <x:row r="11">
      <x:c r="A11" s="1"/>
      <x:c r="B11" s="1"/>
      <x:c r="C11" s="1"/>
      <x:c r="D11" s="1"/>
      <x:c r="E11" s="1"/>
      <x:c r="F11" s="1"/>
      <x:c r="G11" s="1"/>
      <x:c r="H11" s="1"/>
    </x:row>
    <x:row r="12" ht="15">
      <x:c r="A12" s="69" t="str">
        <x:v>PROJECT METHODOLOGY &amp; DISCLOSURE</x:v>
      </x:c>
      <x:c r="B12" s="69"/>
      <x:c r="C12" s="69"/>
      <x:c r="D12" s="69"/>
      <x:c r="E12" s="69"/>
      <x:c r="F12" s="69"/>
      <x:c r="G12" s="69"/>
      <x:c r="H12" s="69"/>
    </x:row>
    <x:row r="13" ht="33" customHeight="1">
      <x:c r="A13" s="75" t="str">
        <x:v>Independent project simulation based on a fictional medical communications webinar brief.</x:v>
      </x:c>
      <x:c r="B13" s="75"/>
      <x:c r="C13" s="75"/>
      <x:c r="D13" s="75"/>
      <x:c r="E13" s="75"/>
      <x:c r="F13" s="75"/>
      <x:c r="G13" s="75"/>
      <x:c r="H13" s="75"/>
    </x:row>
    <x:row r="14" ht="33" customHeight="1">
      <x:c r="A14" s="80" t="str">
        <x:v>The model compares baseline vs revised schedules, forecast budgets and resource-recovery options.</x:v>
      </x:c>
      <x:c r="B14" s="80"/>
      <x:c r="C14" s="80"/>
      <x:c r="D14" s="80"/>
      <x:c r="E14" s="80"/>
      <x:c r="F14" s="80"/>
      <x:c r="G14" s="80"/>
      <x:c r="H14" s="80"/>
    </x:row>
    <x:row r="15" ht="33" customHeight="1">
      <x:c r="A15" s="75" t="str">
        <x:v>All estimated rates, events, client requests and internal communications are illustrative.</x:v>
      </x:c>
      <x:c r="B15" s="75"/>
      <x:c r="C15" s="75"/>
      <x:c r="D15" s="75"/>
      <x:c r="E15" s="75"/>
      <x:c r="F15" s="75"/>
      <x:c r="G15" s="75"/>
      <x:c r="H15" s="75"/>
    </x:row>
    <x:row r="16" ht="33" customHeight="1">
      <x:c r="A16" s="80" t="str">
        <x:v>This is not paid employment, verified client delivery or evidence of a real clinical review.</x:v>
      </x:c>
      <x:c r="B16" s="80"/>
      <x:c r="C16" s="80"/>
      <x:c r="D16" s="80"/>
      <x:c r="E16" s="80"/>
      <x:c r="F16" s="80"/>
      <x:c r="G16" s="80"/>
      <x:c r="H16" s="80"/>
    </x:row>
    <x:row r="17" ht="33" customHeight="1">
      <x:c r="A17" s="75" t="str">
        <x:v>No real patient data, fabricated scientific citations or claims of third-party endorsement are included.</x:v>
      </x:c>
      <x:c r="B17" s="75"/>
      <x:c r="C17" s="75"/>
      <x:c r="D17" s="75"/>
      <x:c r="E17" s="75"/>
      <x:c r="F17" s="75"/>
      <x:c r="G17" s="75"/>
      <x:c r="H17" s="75"/>
    </x:row>
    <x:row r="18">
      <x:c r="A18" s="1"/>
      <x:c r="B18" s="1"/>
      <x:c r="C18" s="1"/>
      <x:c r="D18" s="1"/>
      <x:c r="E18" s="1"/>
      <x:c r="F18" s="1"/>
      <x:c r="G18" s="1"/>
      <x:c r="H18" s="1"/>
    </x:row>
    <x:row r="19">
      <x:c r="A19" s="1"/>
      <x:c r="B19" s="1"/>
      <x:c r="C19" s="1"/>
      <x:c r="D19" s="1"/>
      <x:c r="E19" s="1"/>
      <x:c r="F19" s="1"/>
      <x:c r="G19" s="1"/>
      <x:c r="H19" s="1"/>
    </x:row>
    <x:row r="20">
      <x:c r="A20" s="1"/>
      <x:c r="B20" s="1"/>
      <x:c r="C20" s="1"/>
      <x:c r="D20" s="1"/>
      <x:c r="E20" s="1"/>
      <x:c r="F20" s="1"/>
      <x:c r="G20" s="1"/>
      <x:c r="H20" s="1"/>
    </x:row>
    <x:row r="21">
      <x:c r="A21" s="1"/>
      <x:c r="B21" s="1"/>
      <x:c r="C21" s="1"/>
      <x:c r="D21" s="1"/>
      <x:c r="E21" s="1"/>
      <x:c r="F21" s="1"/>
      <x:c r="G21" s="1"/>
      <x:c r="H21" s="1"/>
    </x:row>
    <x:row r="22">
      <x:c r="A22" s="1"/>
      <x:c r="B22" s="1"/>
      <x:c r="C22" s="1"/>
      <x:c r="D22" s="1"/>
      <x:c r="E22" s="1"/>
      <x:c r="F22" s="1"/>
      <x:c r="G22" s="1"/>
      <x:c r="H22" s="1"/>
    </x:row>
    <x:row r="23">
      <x:c r="A23" s="1"/>
      <x:c r="B23" s="1"/>
      <x:c r="C23" s="1"/>
      <x:c r="D23" s="1"/>
      <x:c r="E23" s="1"/>
      <x:c r="F23" s="1"/>
      <x:c r="G23" s="1"/>
      <x:c r="H23" s="1"/>
    </x:row>
    <x:row r="24">
      <x:c r="A24" s="1"/>
      <x:c r="B24" s="1"/>
      <x:c r="C24" s="1"/>
      <x:c r="D24" s="1"/>
      <x:c r="E24" s="1"/>
      <x:c r="F24" s="1"/>
      <x:c r="G24" s="1"/>
      <x:c r="H24" s="1"/>
    </x:row>
    <x:row r="25">
      <x:c r="A25" s="1"/>
      <x:c r="B25" s="1"/>
      <x:c r="C25" s="1"/>
      <x:c r="D25" s="1"/>
      <x:c r="E25" s="1"/>
      <x:c r="F25" s="1"/>
      <x:c r="G25" s="1"/>
      <x:c r="H25" s="1"/>
    </x:row>
    <x:row r="26">
      <x:c r="A26" s="1"/>
      <x:c r="B26" s="1"/>
      <x:c r="C26" s="1"/>
      <x:c r="D26" s="1"/>
      <x:c r="E26" s="1"/>
      <x:c r="F26" s="1"/>
      <x:c r="G26" s="1"/>
      <x:c r="H26" s="1"/>
    </x:row>
    <x:row r="27">
      <x:c r="A27" s="1"/>
      <x:c r="B27" s="1"/>
      <x:c r="C27" s="1"/>
      <x:c r="D27" s="1"/>
      <x:c r="E27" s="1"/>
      <x:c r="F27" s="1"/>
      <x:c r="G27" s="1"/>
      <x:c r="H27" s="1"/>
    </x:row>
    <x:row r="28">
      <x:c r="A28" s="1"/>
      <x:c r="B28" s="1"/>
      <x:c r="C28" s="1"/>
      <x:c r="D28" s="1"/>
      <x:c r="E28" s="1"/>
      <x:c r="F28" s="1"/>
      <x:c r="G28" s="1"/>
      <x:c r="H28" s="1"/>
    </x:row>
    <x:row r="29">
      <x:c r="A29" s="1"/>
      <x:c r="B29" s="1"/>
      <x:c r="C29" s="1"/>
      <x:c r="D29" s="1"/>
      <x:c r="E29" s="1"/>
      <x:c r="F29" s="1"/>
      <x:c r="G29" s="1"/>
      <x:c r="H29" s="1"/>
    </x:row>
    <x:row r="30">
      <x:c r="A30" s="1"/>
      <x:c r="B30" s="1"/>
      <x:c r="C30" s="1"/>
      <x:c r="D30" s="1"/>
      <x:c r="E30" s="1"/>
      <x:c r="F30" s="1"/>
      <x:c r="G30" s="1"/>
      <x:c r="H30" s="1"/>
    </x:row>
    <x:row r="31">
      <x:c r="A31" s="1"/>
      <x:c r="B31" s="1"/>
      <x:c r="C31" s="1"/>
      <x:c r="D31" s="1"/>
      <x:c r="E31" s="1"/>
      <x:c r="F31" s="1"/>
      <x:c r="G31" s="1"/>
      <x:c r="H31" s="1"/>
    </x:row>
    <x:row r="32">
      <x:c r="A32" s="1"/>
      <x:c r="B32" s="1"/>
      <x:c r="C32" s="1"/>
      <x:c r="D32" s="1"/>
      <x:c r="E32" s="1"/>
      <x:c r="F32" s="1"/>
      <x:c r="G32" s="1"/>
      <x:c r="H32" s="1"/>
    </x:row>
    <x:row r="33">
      <x:c r="A33" s="1"/>
      <x:c r="B33" s="1"/>
      <x:c r="C33" s="1"/>
      <x:c r="D33" s="1"/>
      <x:c r="E33" s="1"/>
      <x:c r="F33" s="1"/>
      <x:c r="G33" s="1"/>
      <x:c r="H33" s="1"/>
    </x:row>
    <x:row r="34">
      <x:c r="A34" s="1"/>
      <x:c r="B34" s="1"/>
      <x:c r="C34" s="1"/>
      <x:c r="D34" s="1"/>
      <x:c r="E34" s="1"/>
      <x:c r="F34" s="1"/>
      <x:c r="G34" s="1"/>
      <x:c r="H34" s="1"/>
    </x:row>
    <x:row r="35">
      <x:c r="A35" s="1"/>
      <x:c r="B35" s="1"/>
      <x:c r="C35" s="1"/>
      <x:c r="D35" s="1"/>
      <x:c r="E35" s="1"/>
      <x:c r="F35" s="1"/>
      <x:c r="G35" s="1"/>
      <x:c r="H35" s="1"/>
    </x:row>
  </x:sheetData>
  <x:mergeCells>
    <x:mergeCell ref="A15:H15"/>
    <x:mergeCell ref="A16:H16"/>
    <x:mergeCell ref="A17:H17"/>
    <x:mergeCell ref="A1:H2"/>
    <x:mergeCell ref="A3:H3"/>
    <x:mergeCell ref="A12:H12"/>
    <x:mergeCell ref="A13:H13"/>
    <x:mergeCell ref="A14:H14"/>
  </x:mergeCells>
  <x:pageMargins left="0.7" right="0.7" top="0.75" bottom="0.75" header="0.3" footer="0.3"/>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4.25"/>
  <x:cols>
    <x:col min="1" max="1" width="16" customWidth="1"/>
    <x:col min="2" max="2" width="19" customWidth="1"/>
    <x:col min="3" max="5" width="22" customWidth="1"/>
    <x:col min="6" max="6" width="24" customWidth="1"/>
  </x:cols>
  <x:sheetData>
    <x:row r="1" ht="27" customHeight="1">
      <x:c r="A1" s="83" t="str">
        <x:v>ACCOUNT EXECUTIVE | PROJECT DECISION RECORD</x:v>
      </x:c>
      <x:c r="B1" s="83"/>
      <x:c r="C1" s="83"/>
      <x:c r="D1" s="83"/>
      <x:c r="E1" s="83"/>
      <x:c r="F1" s="83"/>
    </x:row>
    <x:row r="2" ht="27" customHeight="1">
      <x:c r="A2" s="83"/>
      <x:c r="B2" s="83"/>
      <x:c r="C2" s="83"/>
      <x:c r="D2" s="83"/>
      <x:c r="E2" s="83"/>
      <x:c r="F2" s="83"/>
    </x:row>
    <x:row r="3" ht="30" customHeight="1">
      <x:c r="A3" s="84" t="str">
        <x:v>CASE 01  •  Fictional medical communications project  •  documented delivery assessment</x:v>
      </x:c>
      <x:c r="B3" s="84"/>
      <x:c r="C3" s="84"/>
      <x:c r="D3" s="84"/>
      <x:c r="E3" s="84"/>
      <x:c r="F3" s="84"/>
    </x:row>
    <x:row r="5" ht="26.100000381469727" customHeight="1">
      <x:c r="A5" s="83" t="s">
        <x:v>242</x:v>
      </x:c>
      <x:c r="B5" s="83"/>
      <x:c r="C5" s="83"/>
      <x:c r="D5" s="83"/>
      <x:c r="E5" s="83"/>
      <x:c r="F5" s="83"/>
    </x:row>
    <x:row r="6" ht="26.100000381469727" customHeight="1">
      <x:c r="A6" s="85" t="s">
        <x:v>243</x:v>
      </x:c>
      <x:c r="B6" s="85"/>
      <x:c r="C6" s="12" t="s">
        <x:v>244</x:v>
      </x:c>
      <x:c r="D6" s="85" t="s">
        <x:v>245</x:v>
      </x:c>
      <x:c r="E6" s="85"/>
      <x:c r="F6" s="14" t="n">
        <x:f>'Project Tracker'!E16</x:f>
        <x:v>46351</x:v>
      </x:c>
    </x:row>
    <x:row r="7" ht="26.100000381469727" customHeight="1">
      <x:c r="A7" s="85" t="s">
        <x:v>246</x:v>
      </x:c>
      <x:c r="B7" s="85"/>
      <x:c r="C7" s="13" t="n">
        <x:f>Budget!D12</x:f>
        <x:v>9890</x:v>
      </x:c>
      <x:c r="D7" s="85" t="s">
        <x:v>247</x:v>
      </x:c>
      <x:c r="E7" s="85"/>
      <x:c r="F7" s="13" t="n">
        <x:f>Budget!H12</x:f>
        <x:v>11670</x:v>
      </x:c>
    </x:row>
    <x:row r="8" ht="26.100000381469727" customHeight="1">
      <x:c r="A8" s="85" t="s">
        <x:v>248</x:v>
      </x:c>
      <x:c r="B8" s="85"/>
      <x:c r="C8" s="13" t="n">
        <x:f>Budget!I12</x:f>
        <x:v>1780</x:v>
      </x:c>
      <x:c r="D8" s="85" t="s">
        <x:v>249</x:v>
      </x:c>
      <x:c r="E8" s="85"/>
      <x:c r="F8" s="15" t="n">
        <x:f>IFERROR(C8/C7,0)</x:f>
        <x:v>0.17997977755308392</x:v>
      </x:c>
    </x:row>
    <x:row r="10" ht="42.95000076293945" customHeight="1">
      <x:c r="A10" s="86" t="s">
        <x:v>250</x:v>
      </x:c>
      <x:c r="B10" s="86"/>
      <x:c r="C10" s="86"/>
      <x:c r="D10" s="86"/>
      <x:c r="E10" s="86"/>
      <x:c r="F10" s="86"/>
    </x:row>
    <x:row r="12" ht="26.100000381469727" customHeight="1">
      <x:c r="A12" s="83" t="s">
        <x:v>251</x:v>
      </x:c>
      <x:c r="B12" s="83"/>
      <x:c r="C12" s="83"/>
      <x:c r="D12" s="83"/>
      <x:c r="E12" s="83"/>
      <x:c r="F12" s="83"/>
    </x:row>
    <x:row r="13" ht="33.95000076293945" customHeight="1">
      <x:c r="A13" s="87" t="s">
        <x:v>252</x:v>
      </x:c>
      <x:c r="B13" s="87"/>
      <x:c r="C13" s="87"/>
      <x:c r="D13" s="87"/>
      <x:c r="E13" s="87"/>
      <x:c r="F13" s="87"/>
    </x:row>
    <x:row r="14" ht="33.95000076293945" customHeight="1">
      <x:c r="A14" s="88" t="s">
        <x:v>253</x:v>
      </x:c>
      <x:c r="B14" s="88"/>
      <x:c r="C14" s="88"/>
      <x:c r="D14" s="88"/>
      <x:c r="E14" s="88"/>
      <x:c r="F14" s="88"/>
    </x:row>
    <x:row r="15" ht="33.95000076293945" customHeight="1">
      <x:c r="A15" s="87" t="s">
        <x:v>254</x:v>
      </x:c>
      <x:c r="B15" s="87"/>
      <x:c r="C15" s="87"/>
      <x:c r="D15" s="87"/>
      <x:c r="E15" s="87"/>
      <x:c r="F15" s="87"/>
    </x:row>
    <x:row r="16" ht="33.95000076293945" customHeight="1">
      <x:c r="A16" s="88" t="s">
        <x:v>255</x:v>
      </x:c>
      <x:c r="B16" s="88"/>
      <x:c r="C16" s="88"/>
      <x:c r="D16" s="88"/>
      <x:c r="E16" s="88"/>
      <x:c r="F16" s="88"/>
    </x:row>
    <x:row r="18" ht="26.100000381469727" customHeight="1">
      <x:c r="A18" s="83" t="str">
        <x:v>DELIVERY ASSESSMENT  |  ACTIONS, COMMUNICATION AND RECOMMENDATIONS</x:v>
      </x:c>
      <x:c r="B18" s="83"/>
      <x:c r="C18" s="83"/>
      <x:c r="D18" s="83"/>
      <x:c r="E18" s="83"/>
      <x:c r="F18" s="83"/>
    </x:row>
    <x:row r="20" ht="24.950000762939453" customHeight="1">
      <x:c r="A20" s="89" t="s">
        <x:v>256</x:v>
      </x:c>
      <x:c r="B20" s="89"/>
      <x:c r="C20" s="89"/>
      <x:c r="D20" s="90" t="s">
        <x:v>257</x:v>
      </x:c>
      <x:c r="E20" s="90"/>
      <x:c r="F20" s="90"/>
    </x:row>
    <x:row r="21" ht="24.950000762939453" customHeight="1">
      <x:c r="A21" s="89"/>
      <x:c r="B21" s="89"/>
      <x:c r="C21" s="89"/>
      <x:c r="D21" s="90"/>
      <x:c r="E21" s="90"/>
      <x:c r="F21" s="90"/>
    </x:row>
    <x:row r="22" ht="24.950000762939453" customHeight="1">
      <x:c r="A22" s="89"/>
      <x:c r="B22" s="89"/>
      <x:c r="C22" s="89"/>
      <x:c r="D22" s="90"/>
      <x:c r="E22" s="90"/>
      <x:c r="F22" s="90"/>
    </x:row>
    <x:row r="23" ht="9.949999809265137" customHeight="1"/>
    <x:row r="25" ht="24.950000762939453" customHeight="1">
      <x:c r="A25" s="89" t="s">
        <x:v>258</x:v>
      </x:c>
      <x:c r="B25" s="89"/>
      <x:c r="C25" s="89"/>
      <x:c r="D25" s="90" t="s">
        <x:v>259</x:v>
      </x:c>
      <x:c r="E25" s="90"/>
      <x:c r="F25" s="90"/>
    </x:row>
    <x:row r="26" ht="24.950000762939453" customHeight="1">
      <x:c r="A26" s="89"/>
      <x:c r="B26" s="89"/>
      <x:c r="C26" s="89"/>
      <x:c r="D26" s="90"/>
      <x:c r="E26" s="90"/>
      <x:c r="F26" s="90"/>
    </x:row>
    <x:row r="27" ht="24.950000762939453" customHeight="1">
      <x:c r="A27" s="89"/>
      <x:c r="B27" s="89"/>
      <x:c r="C27" s="89"/>
      <x:c r="D27" s="90"/>
      <x:c r="E27" s="90"/>
      <x:c r="F27" s="90"/>
    </x:row>
    <x:row r="28" ht="9.949999809265137" customHeight="1"/>
    <x:row r="30" ht="24.950000762939453" customHeight="1">
      <x:c r="A30" s="89" t="s">
        <x:v>260</x:v>
      </x:c>
      <x:c r="B30" s="89"/>
      <x:c r="C30" s="89"/>
      <x:c r="D30" s="117" t="s">
        <x:v>261</x:v>
      </x:c>
      <x:c r="E30" s="90"/>
      <x:c r="F30" s="90"/>
    </x:row>
    <x:row r="31" ht="24.950000762939453" customHeight="1">
      <x:c r="A31" s="89"/>
      <x:c r="B31" s="89"/>
      <x:c r="C31" s="89"/>
      <x:c r="D31" s="90"/>
      <x:c r="E31" s="90"/>
      <x:c r="F31" s="90"/>
    </x:row>
    <x:row r="32" ht="24.950000762939453" customHeight="1">
      <x:c r="A32" s="89"/>
      <x:c r="B32" s="89"/>
      <x:c r="C32" s="89"/>
      <x:c r="D32" s="90"/>
      <x:c r="E32" s="90"/>
      <x:c r="F32" s="90"/>
    </x:row>
    <x:row r="33" ht="9.949999809265137" customHeight="1"/>
    <x:row r="35" ht="24.950000762939453" customHeight="1">
      <x:c r="A35" s="89" t="s">
        <x:v>262</x:v>
      </x:c>
      <x:c r="B35" s="89"/>
      <x:c r="C35" s="89"/>
      <x:c r="D35" s="118" t="s">
        <x:v>263</x:v>
      </x:c>
      <x:c r="E35" s="90"/>
      <x:c r="F35" s="90"/>
    </x:row>
    <x:row r="36" ht="24.950000762939453" customHeight="1">
      <x:c r="A36" s="89"/>
      <x:c r="B36" s="89"/>
      <x:c r="C36" s="89"/>
      <x:c r="D36" s="90"/>
      <x:c r="E36" s="90"/>
      <x:c r="F36" s="90"/>
    </x:row>
    <x:row r="37" ht="24.950000762939453" customHeight="1">
      <x:c r="A37" s="89"/>
      <x:c r="B37" s="89"/>
      <x:c r="C37" s="89"/>
      <x:c r="D37" s="90"/>
      <x:c r="E37" s="90"/>
      <x:c r="F37" s="90"/>
    </x:row>
    <x:row r="38" ht="9.949999809265137" customHeight="1"/>
    <x:row r="40" ht="24.950000762939453" customHeight="1">
      <x:c r="A40" s="89" t="s">
        <x:v>264</x:v>
      </x:c>
      <x:c r="B40" s="89"/>
      <x:c r="C40" s="89"/>
      <x:c r="D40" s="90" t="s">
        <x:v>265</x:v>
      </x:c>
      <x:c r="E40" s="90"/>
      <x:c r="F40" s="90"/>
    </x:row>
    <x:row r="41" ht="24.950000762939453" customHeight="1">
      <x:c r="A41" s="89"/>
      <x:c r="B41" s="89"/>
      <x:c r="C41" s="89"/>
      <x:c r="D41" s="90"/>
      <x:c r="E41" s="90"/>
      <x:c r="F41" s="90"/>
    </x:row>
    <x:row r="42" ht="24.950000762939453" customHeight="1">
      <x:c r="A42" s="89"/>
      <x:c r="B42" s="89"/>
      <x:c r="C42" s="89"/>
      <x:c r="D42" s="90"/>
      <x:c r="E42" s="90"/>
      <x:c r="F42" s="90"/>
    </x:row>
    <x:row r="43" ht="9.949999809265137" customHeight="1"/>
    <x:row r="45" ht="24.950000762939453" customHeight="1">
      <x:c r="A45" s="89" t="s">
        <x:v>266</x:v>
      </x:c>
      <x:c r="B45" s="89"/>
      <x:c r="C45" s="89"/>
      <x:c r="D45" s="117" t="s">
        <x:v>267</x:v>
      </x:c>
      <x:c r="E45" s="90"/>
      <x:c r="F45" s="90"/>
    </x:row>
    <x:row r="46" ht="24.950000762939453" customHeight="1">
      <x:c r="A46" s="89"/>
      <x:c r="B46" s="89"/>
      <x:c r="C46" s="89"/>
      <x:c r="D46" s="90"/>
      <x:c r="E46" s="90"/>
      <x:c r="F46" s="90"/>
    </x:row>
    <x:row r="47" ht="24.950000762939453" customHeight="1">
      <x:c r="A47" s="89"/>
      <x:c r="B47" s="89"/>
      <x:c r="C47" s="89"/>
      <x:c r="D47" s="90"/>
      <x:c r="E47" s="90"/>
      <x:c r="F47" s="90"/>
    </x:row>
    <x:row r="48" ht="9.949999809265137" customHeight="1"/>
    <x:row r="51" ht="26.100000381469727" customHeight="1">
      <x:c r="A51" s="83" t="str">
        <x:v>QUALITY GATE  |  DOCUMENTED VERIFICATION STATUS</x:v>
      </x:c>
      <x:c r="B51" s="83"/>
      <x:c r="C51" s="83"/>
      <x:c r="D51" s="83"/>
      <x:c r="E51" s="83"/>
      <x:c r="F51" s="83"/>
    </x:row>
    <x:row r="53" ht="29.100000381469727" customHeight="1">
      <x:c r="A53" s="87" t="s">
        <x:v>268</x:v>
      </x:c>
      <x:c r="B53" s="87"/>
      <x:c r="C53" s="87"/>
      <x:c r="D53" s="87"/>
      <x:c r="E53" s="87"/>
      <x:c r="F53" s="16" t="s">
        <x:v>269</x:v>
      </x:c>
    </x:row>
    <x:row r="54" ht="29.100000381469727" customHeight="1">
      <x:c r="A54" s="87" t="s">
        <x:v>270</x:v>
      </x:c>
      <x:c r="B54" s="87"/>
      <x:c r="C54" s="87"/>
      <x:c r="D54" s="87"/>
      <x:c r="E54" s="87"/>
      <x:c r="F54" s="16" t="s">
        <x:v>271</x:v>
      </x:c>
    </x:row>
    <x:row r="55" ht="29.100000381469727" customHeight="1">
      <x:c r="A55" s="87" t="s">
        <x:v>272</x:v>
      </x:c>
      <x:c r="B55" s="87"/>
      <x:c r="C55" s="87"/>
      <x:c r="D55" s="87"/>
      <x:c r="E55" s="87"/>
      <x:c r="F55" s="16" t="s">
        <x:v>271</x:v>
      </x:c>
    </x:row>
    <x:row r="56" ht="29.100000381469727" customHeight="1">
      <x:c r="A56" s="87" t="s">
        <x:v>273</x:v>
      </x:c>
      <x:c r="B56" s="87"/>
      <x:c r="C56" s="87"/>
      <x:c r="D56" s="87"/>
      <x:c r="E56" s="87"/>
      <x:c r="F56" s="16" t="s">
        <x:v>269</x:v>
      </x:c>
    </x:row>
    <x:row r="57" ht="29.100000381469727" customHeight="1">
      <x:c r="A57" s="87" t="s">
        <x:v>274</x:v>
      </x:c>
      <x:c r="B57" s="87"/>
      <x:c r="C57" s="87"/>
      <x:c r="D57" s="87"/>
      <x:c r="E57" s="87"/>
      <x:c r="F57" s="16" t="s">
        <x:v>271</x:v>
      </x:c>
    </x:row>
    <x:row r="59" ht="32.099998474121094" customHeight="1">
      <x:c r="A59" s="78" t="s">
        <x:v>275</x:v>
      </x:c>
      <x:c r="B59" s="78"/>
      <x:c r="C59" s="78"/>
      <x:c r="D59" s="78"/>
      <x:c r="E59" s="78"/>
      <x:c r="F59" s="78"/>
    </x:row>
  </x:sheetData>
  <x:mergeCells>
    <x:mergeCell ref="A55:E55"/>
    <x:mergeCell ref="A56:E56"/>
    <x:mergeCell ref="A57:E57"/>
    <x:mergeCell ref="A59:F59"/>
    <x:mergeCell ref="A45:C47"/>
    <x:mergeCell ref="D45:F47"/>
    <x:mergeCell ref="A51:F51"/>
    <x:mergeCell ref="A53:E53"/>
    <x:mergeCell ref="A54:E54"/>
    <x:mergeCell ref="A30:C32"/>
    <x:mergeCell ref="D30:F32"/>
    <x:mergeCell ref="A35:C37"/>
    <x:mergeCell ref="D35:F37"/>
    <x:mergeCell ref="A40:C42"/>
    <x:mergeCell ref="D40:F42"/>
    <x:mergeCell ref="A18:F18"/>
    <x:mergeCell ref="A20:C22"/>
    <x:mergeCell ref="D20:F22"/>
    <x:mergeCell ref="A25:C27"/>
    <x:mergeCell ref="D25:F27"/>
    <x:mergeCell ref="A12:F12"/>
    <x:mergeCell ref="A13:F13"/>
    <x:mergeCell ref="A14:F14"/>
    <x:mergeCell ref="A15:F15"/>
    <x:mergeCell ref="A16:F16"/>
    <x:mergeCell ref="A7:B7"/>
    <x:mergeCell ref="D7:E7"/>
    <x:mergeCell ref="A8:B8"/>
    <x:mergeCell ref="D8:E8"/>
    <x:mergeCell ref="A10:F10"/>
    <x:mergeCell ref="A1:F2"/>
    <x:mergeCell ref="A3:F3"/>
    <x:mergeCell ref="A5:F5"/>
    <x:mergeCell ref="A6:B6"/>
    <x:mergeCell ref="D6:E6"/>
  </x:mergeCells>
  <x:dataValidations count="1">
    <x:dataValidation type="list" sqref="F53:F57">
      <x:formula1>"Not reviewed,Needs work,Verified"</x:formula1>
    </x:dataValidation>
  </x:dataValidations>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4.25"/>
  <x:cols>
    <x:col min="1" max="1" width="20" customWidth="1"/>
    <x:col min="2" max="2" width="19" customWidth="1"/>
    <x:col min="3" max="3" width="18" customWidth="1"/>
    <x:col min="4" max="4" width="21" customWidth="1"/>
    <x:col min="5" max="6" width="18" customWidth="1"/>
    <x:col min="7" max="7" width="20" customWidth="1"/>
    <x:col min="8" max="8" width="18" customWidth="1"/>
    <x:col min="9" max="9" width="29" customWidth="1"/>
  </x:cols>
  <x:sheetData>
    <x:row r="1" ht="26.100000381469727" customHeight="1">
      <x:c r="A1" s="91" t="s">
        <x:v>276</x:v>
      </x:c>
      <x:c r="B1" s="91"/>
      <x:c r="C1" s="91"/>
      <x:c r="D1" s="91"/>
      <x:c r="E1" s="91"/>
      <x:c r="F1" s="91"/>
      <x:c r="G1" s="91"/>
      <x:c r="H1" s="91"/>
      <x:c r="I1" s="91"/>
    </x:row>
    <x:row r="2" ht="26.100000381469727" customHeight="1">
      <x:c r="A2" s="91"/>
      <x:c r="B2" s="91"/>
      <x:c r="C2" s="91"/>
      <x:c r="D2" s="91"/>
      <x:c r="E2" s="91"/>
      <x:c r="F2" s="91"/>
      <x:c r="G2" s="91"/>
      <x:c r="H2" s="91"/>
      <x:c r="I2" s="91"/>
    </x:row>
    <x:row r="3" ht="26.100000381469727" customHeight="1">
      <x:c r="A3" s="92" t="s">
        <x:v>277</x:v>
      </x:c>
      <x:c r="B3" s="92"/>
      <x:c r="C3" s="92"/>
      <x:c r="D3" s="92"/>
      <x:c r="E3" s="92"/>
      <x:c r="F3" s="92"/>
      <x:c r="G3" s="92"/>
      <x:c r="H3" s="92"/>
      <x:c r="I3" s="92"/>
    </x:row>
    <x:row r="4" ht="23.100000381469727" customHeight="1">
      <x:c r="A4" s="17"/>
      <x:c r="B4" s="17"/>
      <x:c r="C4" s="17"/>
      <x:c r="D4" s="17"/>
      <x:c r="E4" s="17"/>
      <x:c r="F4" s="17"/>
      <x:c r="G4" s="17"/>
      <x:c r="H4" s="17"/>
      <x:c r="I4" s="17"/>
    </x:row>
    <x:row r="5" ht="26.100000381469727" customHeight="1">
      <x:c r="A5" s="93" t="s">
        <x:v>278</x:v>
      </x:c>
      <x:c r="B5" s="93"/>
      <x:c r="C5" s="93"/>
      <x:c r="D5" s="93"/>
      <x:c r="E5" s="93"/>
      <x:c r="F5" s="93"/>
      <x:c r="G5" s="93"/>
      <x:c r="H5" s="93"/>
      <x:c r="I5" s="93"/>
    </x:row>
    <x:row r="6" ht="23.100000381469727" customHeight="1">
      <x:c r="A6" s="18" t="s">
        <x:v>246</x:v>
      </x:c>
      <x:c r="B6" s="26" t="n">
        <x:f>Budget!D12</x:f>
        <x:v>9890</x:v>
      </x:c>
      <x:c r="C6" s="17"/>
      <x:c r="D6" s="18" t="s">
        <x:v>279</x:v>
      </x:c>
      <x:c r="E6" s="26" t="n">
        <x:f>Budget!H12</x:f>
        <x:v>11670</x:v>
      </x:c>
      <x:c r="F6" s="17"/>
      <x:c r="G6" s="18" t="s">
        <x:v>280</x:v>
      </x:c>
      <x:c r="H6" s="26" t="n">
        <x:f>E6-B6</x:f>
        <x:v>1780</x:v>
      </x:c>
      <x:c r="I6" s="17"/>
    </x:row>
    <x:row r="7" ht="23.100000381469727" customHeight="1">
      <x:c r="A7" s="17"/>
      <x:c r="B7" s="17"/>
      <x:c r="C7" s="17"/>
      <x:c r="D7" s="17"/>
      <x:c r="E7" s="17"/>
      <x:c r="F7" s="17"/>
      <x:c r="G7" s="17"/>
      <x:c r="H7" s="17"/>
      <x:c r="I7" s="17"/>
    </x:row>
    <x:row r="8" ht="23.100000381469727" customHeight="1">
      <x:c r="A8" s="18" t="s">
        <x:v>281</x:v>
      </x:c>
      <x:c r="B8" s="27">
        <x:v>46346</x:v>
      </x:c>
      <x:c r="C8" s="17"/>
      <x:c r="D8" s="18" t="s">
        <x:v>282</x:v>
      </x:c>
      <x:c r="E8" s="27" t="n">
        <x:f>'Project Tracker'!E16</x:f>
        <x:v>46351</x:v>
      </x:c>
      <x:c r="F8" s="17"/>
      <x:c r="G8" s="18" t="s">
        <x:v>283</x:v>
      </x:c>
      <x:c r="H8" s="17">
        <x:v>18</x:v>
      </x:c>
      <x:c r="I8" s="17"/>
    </x:row>
    <x:row r="9" ht="23.100000381469727" customHeight="1">
      <x:c r="A9" s="18" t="s">
        <x:v>284</x:v>
      </x:c>
      <x:c r="B9" s="17" t="s">
        <x:v>173</x:v>
      </x:c>
      <x:c r="C9" s="17"/>
      <x:c r="D9" s="18" t="s">
        <x:v>285</x:v>
      </x:c>
      <x:c r="E9" s="17">
        <x:v>3</x:v>
      </x:c>
      <x:c r="F9" s="17"/>
      <x:c r="G9" s="18" t="s">
        <x:v>286</x:v>
      </x:c>
      <x:c r="H9" s="17" t="s">
        <x:v>287</x:v>
      </x:c>
      <x:c r="I9" s="17"/>
    </x:row>
    <x:row r="10" ht="23.100000381469727" customHeight="1">
      <x:c r="A10" s="17"/>
      <x:c r="B10" s="17"/>
      <x:c r="C10" s="17"/>
      <x:c r="D10" s="17"/>
      <x:c r="E10" s="17"/>
      <x:c r="F10" s="17"/>
      <x:c r="G10" s="17"/>
      <x:c r="H10" s="17"/>
      <x:c r="I10" s="17"/>
    </x:row>
    <x:row r="11" ht="26.100000381469727" customHeight="1">
      <x:c r="A11" s="93" t="str">
        <x:v>02   |   RECOVERY OPTIONS — DELIVERY AND FINANCIAL COMPARISON</x:v>
      </x:c>
      <x:c r="B11" s="93"/>
      <x:c r="C11" s="93"/>
      <x:c r="D11" s="93"/>
      <x:c r="E11" s="93"/>
      <x:c r="F11" s="93"/>
      <x:c r="G11" s="93"/>
      <x:c r="H11" s="93"/>
      <x:c r="I11" s="93"/>
    </x:row>
    <x:row r="12" ht="23.100000381469727" customHeight="1">
      <x:c r="A12" s="17"/>
      <x:c r="B12" s="17"/>
      <x:c r="C12" s="17"/>
      <x:c r="D12" s="17"/>
      <x:c r="E12" s="17"/>
      <x:c r="F12" s="17"/>
      <x:c r="G12" s="17"/>
      <x:c r="H12" s="17"/>
      <x:c r="I12" s="17"/>
    </x:row>
    <x:row r="13" ht="35.099998474121094" customHeight="1">
      <x:c r="A13" s="19" t="s">
        <x:v>288</x:v>
      </x:c>
      <x:c r="B13" s="19" t="s">
        <x:v>289</x:v>
      </x:c>
      <x:c r="C13" s="19" t="s">
        <x:v>290</x:v>
      </x:c>
      <x:c r="D13" s="19" t="s">
        <x:v>291</x:v>
      </x:c>
      <x:c r="E13" s="19" t="s">
        <x:v>292</x:v>
      </x:c>
      <x:c r="F13" s="19" t="s">
        <x:v>293</x:v>
      </x:c>
      <x:c r="G13" s="19" t="s">
        <x:v>294</x:v>
      </x:c>
      <x:c r="H13" s="19" t="s">
        <x:v>295</x:v>
      </x:c>
      <x:c r="I13" s="19" t="s">
        <x:v>296</x:v>
      </x:c>
    </x:row>
    <x:row r="14" ht="30.950000762939453" customHeight="1">
      <x:c r="A14" s="20" t="s">
        <x:v>297</x:v>
      </x:c>
      <x:c r="B14" s="28">
        <x:v>46349</x:v>
      </x:c>
      <x:c r="C14" s="29">
        <x:v>0</x:v>
      </x:c>
      <x:c r="D14" s="30" t="n">
        <x:f>$E$6+C14</x:f>
        <x:v>11670</x:v>
      </x:c>
      <x:c r="E14" s="30" t="n">
        <x:f>D14-$B$6</x:f>
        <x:v>1780</x:v>
      </x:c>
      <x:c r="F14" s="21" t="n">
        <x:f>$B$8-B14</x:f>
        <x:v>-3</x:v>
      </x:c>
      <x:c r="G14" s="21" t="str">
        <x:f>IF(F14&gt;=0,"FEASIBLE","MISSES REVIEW")</x:f>
        <x:v>MISSES REVIEW</x:v>
      </x:c>
      <x:c r="H14" s="21" t="n">
        <x:f>$E$8-B14</x:f>
        <x:v>2</x:v>
      </x:c>
      <x:c r="I14" s="22" t="str">
        <x:f>IF(G14="FEASIBLE","Confirm quality + AM approval","Escalate review conflict")</x:f>
        <x:v>Escalate review conflict</x:v>
      </x:c>
    </x:row>
    <x:row r="15" ht="30.950000762939453" customHeight="1">
      <x:c r="A15" s="20" t="s">
        <x:v>298</x:v>
      </x:c>
      <x:c r="B15" s="28">
        <x:v>46345</x:v>
      </x:c>
      <x:c r="C15" s="29">
        <x:v>600</x:v>
      </x:c>
      <x:c r="D15" s="30" t="n">
        <x:f>$E$6+C15</x:f>
        <x:v>12270</x:v>
      </x:c>
      <x:c r="E15" s="30" t="n">
        <x:f>D15-$B$6</x:f>
        <x:v>2380</x:v>
      </x:c>
      <x:c r="F15" s="21" t="n">
        <x:f>$B$8-B15</x:f>
        <x:v>1</x:v>
      </x:c>
      <x:c r="G15" s="21" t="str">
        <x:f>IF(F15&gt;=0,"FEASIBLE","MISSES REVIEW")</x:f>
        <x:v>FEASIBLE</x:v>
      </x:c>
      <x:c r="H15" s="21" t="n">
        <x:f>$E$8-B15</x:f>
        <x:v>6</x:v>
      </x:c>
      <x:c r="I15" s="22" t="str">
        <x:f>IF(G15="FEASIBLE","Confirm quality + AM approval","Escalate review conflict")</x:f>
        <x:v>Confirm quality + AM approval</x:v>
      </x:c>
    </x:row>
    <x:row r="16" ht="23.100000381469727" customHeight="1">
      <x:c r="A16" s="17"/>
      <x:c r="B16" s="17"/>
      <x:c r="C16" s="17"/>
      <x:c r="D16" s="17"/>
      <x:c r="E16" s="17"/>
      <x:c r="F16" s="17"/>
      <x:c r="G16" s="17"/>
      <x:c r="H16" s="17"/>
      <x:c r="I16" s="17"/>
    </x:row>
    <x:row r="17" ht="26.100000381469727" customHeight="1">
      <x:c r="A17" s="93" t="s">
        <x:v>299</x:v>
      </x:c>
      <x:c r="B17" s="93"/>
      <x:c r="C17" s="93"/>
      <x:c r="D17" s="93"/>
      <x:c r="E17" s="93"/>
      <x:c r="F17" s="93"/>
      <x:c r="G17" s="93"/>
      <x:c r="H17" s="93"/>
      <x:c r="I17" s="93"/>
    </x:row>
    <x:row r="18" ht="33.95000076293945" customHeight="1">
      <x:c r="A18" s="18" t="s">
        <x:v>300</x:v>
      </x:c>
      <x:c r="B18" s="23" t="n">
        <x:f>COUNTIF(G14:G15,"FEASIBLE")</x:f>
        <x:v>1</x:v>
      </x:c>
      <x:c r="C18" s="17"/>
      <x:c r="D18" s="18" t="s">
        <x:v>301</x:v>
      </x:c>
      <x:c r="E18" s="24" t="str">
        <x:f>IF(COUNTIF(G14:G15,"FEASIBLE")=0,"None",IF(AND(G14="FEASIBLE",OR(G15&lt;&gt;"FEASIBLE",D14&lt;=D15)),A14,A15))</x:f>
        <x:v>Freelance support</x:v>
      </x:c>
      <x:c r="F18" s="17"/>
      <x:c r="G18" s="18" t="s">
        <x:v>302</x:v>
      </x:c>
      <x:c r="H18" s="25" t="str">
        <x:f>IF(E18="None","Escalate immediately","Account Manager")</x:f>
        <x:v>Account Manager</x:v>
      </x:c>
      <x:c r="I18" s="17"/>
    </x:row>
    <x:row r="19" ht="23.100000381469727" customHeight="1">
      <x:c r="A19" s="17"/>
      <x:c r="B19" s="23"/>
      <x:c r="C19" s="17"/>
      <x:c r="D19" s="17"/>
      <x:c r="E19" s="23"/>
      <x:c r="F19" s="17"/>
      <x:c r="G19" s="17"/>
      <x:c r="H19" s="23"/>
      <x:c r="I19" s="17"/>
    </x:row>
    <x:row r="20" ht="23.100000381469727" customHeight="1">
      <x:c r="A20" s="18" t="s">
        <x:v>303</x:v>
      </x:c>
      <x:c r="B20" s="31" t="n">
        <x:f>IF(E18="None","",IF(E18=A14,D14,D15))</x:f>
        <x:v>12270</x:v>
      </x:c>
      <x:c r="C20" s="17"/>
      <x:c r="D20" s="18" t="s">
        <x:v>304</x:v>
      </x:c>
      <x:c r="E20" s="31" t="n">
        <x:f>IF(B20="","",B20-B6)</x:f>
        <x:v>2380</x:v>
      </x:c>
      <x:c r="F20" s="17"/>
      <x:c r="G20" s="18" t="s">
        <x:v>305</x:v>
      </x:c>
      <x:c r="H20" s="23" t="n">
        <x:f>IF(E18="None","",IF(E18=A14,F14,F15))</x:f>
        <x:v>1</x:v>
      </x:c>
      <x:c r="I20" s="17"/>
    </x:row>
    <x:row r="21" ht="23.100000381469727" customHeight="1">
      <x:c r="A21" s="17"/>
      <x:c r="B21" s="17"/>
      <x:c r="C21" s="17"/>
      <x:c r="D21" s="17"/>
      <x:c r="E21" s="17"/>
      <x:c r="F21" s="17"/>
      <x:c r="G21" s="17"/>
      <x:c r="H21" s="17"/>
      <x:c r="I21" s="17"/>
    </x:row>
    <x:row r="22" ht="26.100000381469727" customHeight="1">
      <x:c r="A22" s="93" t="str">
        <x:v>04   |   ACCOUNT EXECUTIVE RECOMMENDATION</x:v>
      </x:c>
      <x:c r="B22" s="93"/>
      <x:c r="C22" s="93"/>
      <x:c r="D22" s="93"/>
      <x:c r="E22" s="93"/>
      <x:c r="F22" s="93"/>
      <x:c r="G22" s="93"/>
      <x:c r="H22" s="93"/>
      <x:c r="I22" s="93"/>
    </x:row>
    <x:row r="23" ht="24.950000762939453" customHeight="1">
      <x:c r="A23" s="94" t="s">
        <x:v>306</x:v>
      </x:c>
      <x:c r="B23" s="94"/>
      <x:c r="C23" s="94"/>
      <x:c r="D23" s="94"/>
      <x:c r="E23" s="94"/>
      <x:c r="F23" s="94"/>
      <x:c r="G23" s="94"/>
      <x:c r="H23" s="94"/>
      <x:c r="I23" s="94"/>
    </x:row>
    <x:row r="24" ht="23.100000381469727" customHeight="1">
      <x:c r="A24" s="17"/>
      <x:c r="B24" s="17"/>
      <x:c r="C24" s="17"/>
      <x:c r="D24" s="17"/>
      <x:c r="E24" s="17"/>
      <x:c r="F24" s="17"/>
      <x:c r="G24" s="17"/>
      <x:c r="H24" s="17"/>
      <x:c r="I24" s="17"/>
    </x:row>
    <x:row r="25" ht="23.100000381469727" customHeight="1">
      <x:c r="A25" s="18" t="s">
        <x:v>307</x:v>
      </x:c>
      <x:c r="B25" s="95" t="s">
        <x:v>308</x:v>
      </x:c>
      <x:c r="C25" s="95"/>
      <x:c r="D25" s="95"/>
      <x:c r="E25" s="95"/>
      <x:c r="F25" s="95"/>
      <x:c r="G25" s="95"/>
      <x:c r="H25" s="95"/>
      <x:c r="I25" s="95"/>
    </x:row>
    <x:row r="26" ht="23.100000381469727" customHeight="1">
      <x:c r="A26" s="17"/>
      <x:c r="B26" s="95"/>
      <x:c r="C26" s="95"/>
      <x:c r="D26" s="95"/>
      <x:c r="E26" s="95"/>
      <x:c r="F26" s="95"/>
      <x:c r="G26" s="95"/>
      <x:c r="H26" s="95"/>
      <x:c r="I26" s="95"/>
    </x:row>
    <x:row r="27" ht="23.100000381469727" customHeight="1">
      <x:c r="A27" s="17"/>
      <x:c r="B27" s="95"/>
      <x:c r="C27" s="95"/>
      <x:c r="D27" s="95"/>
      <x:c r="E27" s="95"/>
      <x:c r="F27" s="95"/>
      <x:c r="G27" s="95"/>
      <x:c r="H27" s="95"/>
      <x:c r="I27" s="95"/>
    </x:row>
    <x:row r="28" ht="23.100000381469727" customHeight="1">
      <x:c r="A28" s="17"/>
      <x:c r="B28" s="17"/>
      <x:c r="C28" s="17"/>
      <x:c r="D28" s="17"/>
      <x:c r="E28" s="17"/>
      <x:c r="F28" s="17"/>
      <x:c r="G28" s="17"/>
      <x:c r="H28" s="17"/>
      <x:c r="I28" s="17"/>
    </x:row>
    <x:row r="29" ht="23.100000381469727" customHeight="1">
      <x:c r="A29" s="18" t="s">
        <x:v>309</x:v>
      </x:c>
      <x:c r="B29" s="95" t="str">
        <x:v>Preferred conditional option: freelance design (£600) if capacity, scientific review and quality checks can be confirmed. Current internal delivery (23 Nov) misses the additional-slides review slot (20 Nov); freelance delivery (19 Nov) leaves one calendar day before review. This raises the forecast from £11,670 to £12,270, a £2,380 variance against the £9,890 approved plan. The Account Manager must assess affordability, confirm whether the £600 overlaps existing design cost estimates, verify actual reviewer availability and agree any client-facing scope/cost position before commitment. The 25 Nov webinar date remains fixed; scheduling and approval risks remain unresolved.</x:v>
      </x:c>
      <x:c r="C29" s="95"/>
      <x:c r="D29" s="95"/>
      <x:c r="E29" s="95"/>
      <x:c r="F29" s="95"/>
      <x:c r="G29" s="95"/>
      <x:c r="H29" s="95"/>
      <x:c r="I29" s="95"/>
    </x:row>
    <x:row r="30" ht="23.100000381469727" customHeight="1">
      <x:c r="A30" s="17"/>
      <x:c r="B30" s="95"/>
      <x:c r="C30" s="95"/>
      <x:c r="D30" s="95"/>
      <x:c r="E30" s="95"/>
      <x:c r="F30" s="95"/>
      <x:c r="G30" s="95"/>
      <x:c r="H30" s="95"/>
      <x:c r="I30" s="95"/>
    </x:row>
    <x:row r="31" ht="23.100000381469727" customHeight="1">
      <x:c r="A31" s="17"/>
      <x:c r="B31" s="95"/>
      <x:c r="C31" s="95"/>
      <x:c r="D31" s="95"/>
      <x:c r="E31" s="95"/>
      <x:c r="F31" s="95"/>
      <x:c r="G31" s="95"/>
      <x:c r="H31" s="95"/>
      <x:c r="I31" s="95"/>
    </x:row>
    <x:row r="32" ht="23.100000381469727" customHeight="1">
      <x:c r="A32" s="17"/>
      <x:c r="B32" s="17"/>
      <x:c r="C32" s="17"/>
      <x:c r="D32" s="17"/>
      <x:c r="E32" s="17"/>
      <x:c r="F32" s="17"/>
      <x:c r="G32" s="17"/>
      <x:c r="H32" s="17"/>
      <x:c r="I32" s="17"/>
    </x:row>
    <x:row r="33" ht="26.100000381469727" customHeight="1">
      <x:c r="A33" s="92" t="s">
        <x:v>310</x:v>
      </x:c>
      <x:c r="B33" s="92"/>
      <x:c r="C33" s="92"/>
      <x:c r="D33" s="92"/>
      <x:c r="E33" s="92"/>
      <x:c r="F33" s="92"/>
      <x:c r="G33" s="92"/>
      <x:c r="H33" s="92"/>
      <x:c r="I33" s="92"/>
    </x:row>
    <x:row r="34" ht="21.950000762939453" customHeight="1">
      <x:c r="A34" s="96" t="str">
        <x:v>Scenario date and fee assumptions are editable; calculated figures link to budget and tracker.</x:v>
      </x:c>
      <x:c r="B34" s="97"/>
      <x:c r="C34" s="97"/>
      <x:c r="D34" s="97"/>
      <x:c r="E34" s="97"/>
      <x:c r="F34" s="97"/>
      <x:c r="G34" s="97"/>
      <x:c r="H34" s="97"/>
      <x:c r="I34" s="97"/>
    </x:row>
    <x:row r="35" ht="21.950000762939453" customHeight="1">
      <x:c r="A35" s="96" t="s">
        <x:v>311</x:v>
      </x:c>
      <x:c r="B35" s="97"/>
      <x:c r="C35" s="97"/>
      <x:c r="D35" s="97"/>
      <x:c r="E35" s="97"/>
      <x:c r="F35" s="97"/>
      <x:c r="G35" s="97"/>
      <x:c r="H35" s="97"/>
      <x:c r="I35" s="97"/>
    </x:row>
    <x:row r="36" ht="21.950000762939453" customHeight="1">
      <x:c r="A36" s="96" t="s">
        <x:v>312</x:v>
      </x:c>
      <x:c r="B36" s="97"/>
      <x:c r="C36" s="97"/>
      <x:c r="D36" s="97"/>
      <x:c r="E36" s="97"/>
      <x:c r="F36" s="97"/>
      <x:c r="G36" s="97"/>
      <x:c r="H36" s="97"/>
      <x:c r="I36" s="97"/>
    </x:row>
    <x:row r="37" ht="21.950000762939453" customHeight="1">
      <x:c r="A37" s="96" t="s">
        <x:v>313</x:v>
      </x:c>
      <x:c r="B37" s="97"/>
      <x:c r="C37" s="97"/>
      <x:c r="D37" s="97"/>
      <x:c r="E37" s="97"/>
      <x:c r="F37" s="97"/>
      <x:c r="G37" s="97"/>
      <x:c r="H37" s="97"/>
      <x:c r="I37" s="97"/>
    </x:row>
    <x:row r="38" ht="23.100000381469727" customHeight="1">
      <x:c r="A38" s="17"/>
      <x:c r="B38" s="17"/>
      <x:c r="C38" s="17"/>
      <x:c r="D38" s="17"/>
      <x:c r="E38" s="17"/>
      <x:c r="F38" s="17"/>
      <x:c r="G38" s="17"/>
      <x:c r="H38" s="17"/>
      <x:c r="I38" s="17"/>
    </x:row>
  </x:sheetData>
  <x:mergeCells>
    <x:mergeCell ref="A34:I34"/>
    <x:mergeCell ref="A35:I35"/>
    <x:mergeCell ref="A36:I36"/>
    <x:mergeCell ref="A37:I37"/>
    <x:mergeCell ref="A22:I22"/>
    <x:mergeCell ref="A33:I33"/>
    <x:mergeCell ref="A23:I23"/>
    <x:mergeCell ref="B25:I27"/>
    <x:mergeCell ref="B29:I31"/>
    <x:mergeCell ref="A1:I2"/>
    <x:mergeCell ref="A3:I3"/>
    <x:mergeCell ref="A5:I5"/>
    <x:mergeCell ref="A11:I11"/>
    <x:mergeCell ref="A17:I17"/>
  </x:mergeCells>
  <x:conditionalFormatting sqref="E14:E15">
    <x:cfRule type="cellIs" dxfId="14" priority="3" operator="greaterThan">
      <x:formula>0</x:formula>
    </x:cfRule>
  </x:conditionalFormatting>
  <x:conditionalFormatting sqref="G14:G15">
    <x:cfRule type="expression" dxfId="13" priority="1">
      <x:formula>G14="FEASIBLE"</x:formula>
    </x:cfRule>
    <x:cfRule type="expression" dxfId="12" priority="2">
      <x:formula>G14="MISSES REVIEW"</x:formula>
    </x:cfRule>
  </x:conditionalFormatting>
  <x:pageMargins left="0.7" right="0.7" top="0.75" bottom="0.75" header="0.3" footer="0.3"/>
</x:worksheet>
</file>

<file path=xl/worksheets/sheet10.xml><?xml version="1.0" encoding="utf-8"?>
<x:worksheet xmlns:x="http://schemas.openxmlformats.org/spreadsheetml/2006/main">
  <x:sheetFormatPr defaultRowHeight="14.25"/>
  <x:cols>
    <x:col min="1" max="1" width="12" customWidth="1"/>
    <x:col min="2" max="2" width="38" customWidth="1"/>
    <x:col min="3" max="3" width="19" customWidth="1"/>
    <x:col min="4" max="4" width="18" customWidth="1"/>
    <x:col min="5" max="5" width="16" customWidth="1"/>
    <x:col min="6" max="6" width="37" customWidth="1"/>
    <x:col min="7" max="7" width="3" customWidth="1"/>
    <x:col min="8" max="9" width="17" customWidth="1"/>
    <x:col min="10" max="12" width="14" customWidth="1"/>
    <x:col min="13" max="13" width="13" customWidth="1"/>
  </x:cols>
  <x:sheetData>
    <x:row r="1" ht="24" customHeight="1">
      <x:c r="A1" s="98" t="s">
        <x:v>314</x:v>
      </x:c>
      <x:c r="B1" s="98"/>
      <x:c r="C1" s="98"/>
      <x:c r="D1" s="98"/>
      <x:c r="E1" s="98"/>
      <x:c r="F1" s="98"/>
      <x:c r="G1" s="98"/>
      <x:c r="H1" s="98"/>
      <x:c r="I1" s="98"/>
      <x:c r="J1" s="98"/>
      <x:c r="K1" s="98"/>
      <x:c r="L1" s="98"/>
      <x:c r="M1" s="98"/>
    </x:row>
    <x:row r="2" ht="24" customHeight="1">
      <x:c r="A2" s="98"/>
      <x:c r="B2" s="98"/>
      <x:c r="C2" s="98"/>
      <x:c r="D2" s="98"/>
      <x:c r="E2" s="98"/>
      <x:c r="F2" s="98"/>
      <x:c r="G2" s="98"/>
      <x:c r="H2" s="98"/>
      <x:c r="I2" s="98"/>
      <x:c r="J2" s="98"/>
      <x:c r="K2" s="98"/>
      <x:c r="L2" s="98"/>
      <x:c r="M2" s="98"/>
    </x:row>
    <x:row r="3" ht="24.950000762939453" customHeight="1">
      <x:c r="A3" s="99" t="s">
        <x:v>315</x:v>
      </x:c>
      <x:c r="B3" s="99"/>
      <x:c r="C3" s="99"/>
      <x:c r="D3" s="99"/>
      <x:c r="E3" s="99"/>
      <x:c r="F3" s="99"/>
      <x:c r="G3" s="99"/>
      <x:c r="H3" s="99"/>
      <x:c r="I3" s="99"/>
      <x:c r="J3" s="99"/>
      <x:c r="K3" s="99"/>
      <x:c r="L3" s="99"/>
      <x:c r="M3" s="99"/>
    </x:row>
    <x:row r="4" ht="23.100000381469727" customHeight="1">
      <x:c r="A4" s="39"/>
      <x:c r="B4" s="39"/>
      <x:c r="C4" s="39"/>
      <x:c r="D4" s="39"/>
      <x:c r="E4" s="39"/>
      <x:c r="F4" s="39"/>
      <x:c r="G4" s="39"/>
      <x:c r="H4" s="39"/>
      <x:c r="I4" s="39"/>
      <x:c r="J4" s="39"/>
      <x:c r="K4" s="39"/>
      <x:c r="L4" s="39"/>
      <x:c r="M4" s="39"/>
    </x:row>
    <x:row r="5" ht="23.100000381469727" customHeight="1">
      <x:c r="A5" s="40" t="s">
        <x:v>316</x:v>
      </x:c>
      <x:c r="B5" s="41" t="n">
        <x:f>Overview!B5</x:f>
        <x:v>46336</x:v>
      </x:c>
      <x:c r="C5" s="40"/>
      <x:c r="D5" s="40" t="s">
        <x:v>245</x:v>
      </x:c>
      <x:c r="E5" s="41" t="n">
        <x:f>'Recovery Model'!E8</x:f>
        <x:v>46351</x:v>
      </x:c>
      <x:c r="F5" s="40"/>
      <x:c r="G5" s="40"/>
      <x:c r="H5" s="40" t="s">
        <x:v>317</x:v>
      </x:c>
      <x:c r="I5" s="40" t="s">
        <x:v>318</x:v>
      </x:c>
      <x:c r="J5" s="40"/>
      <x:c r="K5" s="40"/>
      <x:c r="L5" s="40"/>
      <x:c r="M5" s="40"/>
    </x:row>
    <x:row r="6" ht="23.100000381469727" customHeight="1">
      <x:c r="A6" s="39"/>
      <x:c r="B6" s="39"/>
      <x:c r="C6" s="39"/>
      <x:c r="D6" s="39"/>
      <x:c r="E6" s="39"/>
      <x:c r="F6" s="39"/>
      <x:c r="G6" s="39"/>
      <x:c r="H6" s="39"/>
      <x:c r="I6" s="39"/>
      <x:c r="J6" s="39"/>
      <x:c r="K6" s="39"/>
      <x:c r="L6" s="39"/>
      <x:c r="M6" s="39"/>
    </x:row>
    <x:row r="7" ht="26.100000381469727" customHeight="1">
      <x:c r="A7" s="100" t="s">
        <x:v>319</x:v>
      </x:c>
      <x:c r="B7" s="100"/>
      <x:c r="C7" s="100"/>
      <x:c r="D7" s="100"/>
      <x:c r="E7" s="100"/>
      <x:c r="F7" s="100"/>
      <x:c r="G7" s="100"/>
      <x:c r="H7" s="100"/>
      <x:c r="I7" s="100"/>
      <x:c r="J7" s="100"/>
      <x:c r="K7" s="100"/>
      <x:c r="L7" s="100"/>
      <x:c r="M7" s="100"/>
    </x:row>
    <x:row r="8" ht="23.100000381469727" customHeight="1">
      <x:c r="A8" s="39"/>
      <x:c r="B8" s="39"/>
      <x:c r="C8" s="39"/>
      <x:c r="D8" s="39"/>
      <x:c r="E8" s="39"/>
      <x:c r="F8" s="39"/>
      <x:c r="G8" s="39"/>
      <x:c r="H8" s="39"/>
      <x:c r="I8" s="39"/>
      <x:c r="J8" s="39"/>
      <x:c r="K8" s="39"/>
      <x:c r="L8" s="39"/>
      <x:c r="M8" s="39"/>
    </x:row>
    <x:row r="9" ht="23.100000381469727" customHeight="1">
      <x:c r="A9" s="42" t="s">
        <x:v>17</x:v>
      </x:c>
      <x:c r="B9" s="43"/>
      <x:c r="C9" s="43"/>
      <x:c r="D9" s="42" t="s">
        <x:v>320</x:v>
      </x:c>
      <x:c r="E9" s="43"/>
      <x:c r="F9" s="43"/>
      <x:c r="G9" s="39"/>
      <x:c r="H9" s="42" t="s">
        <x:v>321</x:v>
      </x:c>
      <x:c r="I9" s="43"/>
      <x:c r="J9" s="43"/>
      <x:c r="K9" s="39"/>
      <x:c r="L9" s="39"/>
      <x:c r="M9" s="39"/>
    </x:row>
    <x:row r="10" ht="23.100000381469727" customHeight="1">
      <x:c r="A10" s="43"/>
      <x:c r="B10" s="44" t="n">
        <x:f>COUNTIF('Project Tracker'!$F$6:$F$17,"Complete")</x:f>
        <x:v>3</x:v>
      </x:c>
      <x:c r="C10" s="43"/>
      <x:c r="D10" s="43"/>
      <x:c r="E10" s="44" t="n">
        <x:f>COUNTIF('Project Tracker'!$F$6:$F$17,"In progress")+COUNTIF('Project Tracker'!$F$6:$F$17,"Blocked")</x:f>
        <x:v>2</x:v>
      </x:c>
      <x:c r="F10" s="43"/>
      <x:c r="G10" s="39"/>
      <x:c r="H10" s="43"/>
      <x:c r="I10" s="44" t="n">
        <x:f>COUNTIF('Project Tracker'!$H$6:$H$17,"Overdue")+COUNTIF('Project Tracker'!$H$6:$H$17,"Blocked")+COUNTIF('Project Tracker'!$H$6:$H$17,"At risk")+COUNTIF('Project Tracker'!$H$6:$H$17,"Due soon")</x:f>
        <x:v>5</x:v>
      </x:c>
      <x:c r="J10" s="43"/>
      <x:c r="K10" s="39"/>
      <x:c r="L10" s="39"/>
      <x:c r="M10" s="39"/>
    </x:row>
    <x:row r="11" ht="23.100000381469727" customHeight="1">
      <x:c r="A11" s="39"/>
      <x:c r="B11" s="39"/>
      <x:c r="C11" s="39"/>
      <x:c r="D11" s="39"/>
      <x:c r="E11" s="39"/>
      <x:c r="F11" s="39"/>
      <x:c r="G11" s="39"/>
      <x:c r="H11" s="39"/>
      <x:c r="I11" s="39"/>
      <x:c r="J11" s="39"/>
      <x:c r="K11" s="39"/>
      <x:c r="L11" s="39"/>
      <x:c r="M11" s="39"/>
    </x:row>
    <x:row r="12" ht="23.100000381469727" customHeight="1">
      <x:c r="A12" s="42" t="s">
        <x:v>322</x:v>
      </x:c>
      <x:c r="B12" s="43"/>
      <x:c r="C12" s="43"/>
      <x:c r="D12" s="42" t="s">
        <x:v>323</x:v>
      </x:c>
      <x:c r="E12" s="43"/>
      <x:c r="F12" s="43"/>
      <x:c r="G12" s="39"/>
      <x:c r="H12" s="42" t="s">
        <x:v>324</x:v>
      </x:c>
      <x:c r="I12" s="43"/>
      <x:c r="J12" s="43"/>
      <x:c r="K12" s="39"/>
      <x:c r="L12" s="39"/>
      <x:c r="M12" s="39"/>
    </x:row>
    <x:row r="13" ht="23.100000381469727" customHeight="1">
      <x:c r="A13" s="43"/>
      <x:c r="B13" s="44" t="n">
        <x:f>COUNTIFS('Project Tracker'!$E$6:$E$17,"&gt;="&amp;Overview!$B$5,'Project Tracker'!$E$6:$E$17,"&lt;="&amp;Overview!$B$5+7,'Project Tracker'!$F$6:$F$17,"&lt;&gt;Complete")</x:f>
        <x:v>2</x:v>
      </x:c>
      <x:c r="C13" s="43"/>
      <x:c r="D13" s="43"/>
      <x:c r="E13" s="44" t="n">
        <x:f>MAX('Project Tracker'!$K$6:$K$17)</x:f>
        <x:v>6</x:v>
      </x:c>
      <x:c r="F13" s="43"/>
      <x:c r="G13" s="39"/>
      <x:c r="H13" s="43"/>
      <x:c r="I13" s="44" t="n">
        <x:f>'Recovery Model'!$E$8-Overview!$B$5</x:f>
        <x:v>15</x:v>
      </x:c>
      <x:c r="J13" s="43"/>
      <x:c r="K13" s="39"/>
      <x:c r="L13" s="39"/>
      <x:c r="M13" s="39"/>
    </x:row>
    <x:row r="14" ht="23.100000381469727" customHeight="1">
      <x:c r="A14" s="39"/>
      <x:c r="B14" s="39"/>
      <x:c r="C14" s="39"/>
      <x:c r="D14" s="39"/>
      <x:c r="E14" s="39"/>
      <x:c r="F14" s="39"/>
      <x:c r="G14" s="39"/>
      <x:c r="H14" s="39"/>
      <x:c r="I14" s="39"/>
      <x:c r="J14" s="39"/>
      <x:c r="K14" s="39"/>
      <x:c r="L14" s="39"/>
      <x:c r="M14" s="39"/>
    </x:row>
    <x:row r="15" ht="24.950000762939453" customHeight="1">
      <x:c r="A15" s="100" t="s">
        <x:v>325</x:v>
      </x:c>
      <x:c r="B15" s="100"/>
      <x:c r="C15" s="100"/>
      <x:c r="D15" s="100"/>
      <x:c r="E15" s="100"/>
      <x:c r="F15" s="100"/>
      <x:c r="G15" s="100"/>
      <x:c r="H15" s="100"/>
      <x:c r="I15" s="100"/>
      <x:c r="J15" s="100"/>
      <x:c r="K15" s="100"/>
      <x:c r="L15" s="100"/>
      <x:c r="M15" s="100"/>
    </x:row>
    <x:row r="16" ht="23.100000381469727" customHeight="1">
      <x:c r="A16" s="39"/>
      <x:c r="B16" s="39"/>
      <x:c r="C16" s="39"/>
      <x:c r="D16" s="39"/>
      <x:c r="E16" s="39"/>
      <x:c r="F16" s="39"/>
      <x:c r="G16" s="39"/>
      <x:c r="H16" s="39"/>
      <x:c r="I16" s="39"/>
      <x:c r="J16" s="39"/>
      <x:c r="K16" s="39"/>
      <x:c r="L16" s="39"/>
      <x:c r="M16" s="39"/>
    </x:row>
    <x:row r="17" ht="23.100000381469727" customHeight="1">
      <x:c r="A17" s="42" t="s">
        <x:v>326</x:v>
      </x:c>
      <x:c r="B17" s="43"/>
      <x:c r="C17" s="43"/>
      <x:c r="D17" s="42" t="s">
        <x:v>327</x:v>
      </x:c>
      <x:c r="E17" s="43"/>
      <x:c r="F17" s="43"/>
      <x:c r="G17" s="39"/>
      <x:c r="H17" s="42" t="s">
        <x:v>328</x:v>
      </x:c>
      <x:c r="I17" s="43"/>
      <x:c r="J17" s="43"/>
      <x:c r="K17" s="39"/>
      <x:c r="L17" s="39"/>
      <x:c r="M17" s="39"/>
    </x:row>
    <x:row r="18" ht="23.100000381469727" customHeight="1">
      <x:c r="A18" s="43"/>
      <x:c r="B18" s="45" t="n">
        <x:f>Budget!D12</x:f>
        <x:v>9890</x:v>
      </x:c>
      <x:c r="C18" s="43"/>
      <x:c r="D18" s="43"/>
      <x:c r="E18" s="45" t="n">
        <x:f>Budget!H12</x:f>
        <x:v>11670</x:v>
      </x:c>
      <x:c r="F18" s="43"/>
      <x:c r="G18" s="39"/>
      <x:c r="H18" s="43"/>
      <x:c r="I18" s="46" t="n">
        <x:f>Budget!I12</x:f>
        <x:v>1780</x:v>
      </x:c>
      <x:c r="J18" s="43"/>
      <x:c r="K18" s="39"/>
      <x:c r="L18" s="39"/>
      <x:c r="M18" s="39"/>
    </x:row>
    <x:row r="19" ht="23.100000381469727" customHeight="1">
      <x:c r="A19" s="39"/>
      <x:c r="B19" s="39"/>
      <x:c r="C19" s="39"/>
      <x:c r="D19" s="39"/>
      <x:c r="E19" s="39"/>
      <x:c r="F19" s="39"/>
      <x:c r="G19" s="39"/>
      <x:c r="H19" s="39"/>
      <x:c r="I19" s="39"/>
      <x:c r="J19" s="39"/>
      <x:c r="K19" s="39"/>
      <x:c r="L19" s="39"/>
      <x:c r="M19" s="39"/>
    </x:row>
    <x:row r="20" ht="23.100000381469727" customHeight="1">
      <x:c r="A20" s="39"/>
      <x:c r="B20" s="39"/>
      <x:c r="C20" s="39"/>
      <x:c r="D20" s="39"/>
      <x:c r="E20" s="39"/>
      <x:c r="F20" s="39"/>
      <x:c r="G20" s="39"/>
      <x:c r="H20" s="39"/>
      <x:c r="I20" s="39"/>
      <x:c r="J20" s="39"/>
      <x:c r="K20" s="39"/>
      <x:c r="L20" s="39"/>
      <x:c r="M20" s="39"/>
    </x:row>
    <x:row r="21" ht="27" customHeight="1">
      <x:c r="A21" s="101" t="s">
        <x:v>329</x:v>
      </x:c>
      <x:c r="B21" s="101"/>
      <x:c r="C21" s="101"/>
      <x:c r="D21" s="101"/>
      <x:c r="E21" s="101"/>
      <x:c r="F21" s="101"/>
      <x:c r="G21" s="39"/>
      <x:c r="H21" s="101" t="s">
        <x:v>330</x:v>
      </x:c>
      <x:c r="I21" s="101"/>
      <x:c r="J21" s="101"/>
      <x:c r="K21" s="101"/>
      <x:c r="L21" s="101"/>
      <x:c r="M21" s="101"/>
    </x:row>
    <x:row r="22" ht="23.100000381469727" customHeight="1">
      <x:c r="A22" s="39"/>
      <x:c r="B22" s="39"/>
      <x:c r="C22" s="39"/>
      <x:c r="D22" s="39"/>
      <x:c r="E22" s="39"/>
      <x:c r="F22" s="39"/>
      <x:c r="G22" s="39"/>
      <x:c r="H22" s="39"/>
      <x:c r="I22" s="39"/>
      <x:c r="J22" s="39"/>
      <x:c r="K22" s="39"/>
      <x:c r="L22" s="39"/>
      <x:c r="M22" s="39"/>
    </x:row>
    <x:row r="23" ht="27.950000762939453" customHeight="1">
      <x:c r="A23" s="47" t="s">
        <x:v>30</x:v>
      </x:c>
      <x:c r="B23" s="47" t="s">
        <x:v>331</x:v>
      </x:c>
      <x:c r="C23" s="47" t="s">
        <x:v>34</x:v>
      </x:c>
      <x:c r="D23" s="47" t="s">
        <x:v>332</x:v>
      </x:c>
      <x:c r="E23" s="47" t="s">
        <x:v>40</x:v>
      </x:c>
      <x:c r="F23" s="47" t="s">
        <x:v>333</x:v>
      </x:c>
      <x:c r="G23" s="39"/>
      <x:c r="H23" s="47" t="s">
        <x:v>334</x:v>
      </x:c>
      <x:c r="I23" s="47" t="s">
        <x:v>335</x:v>
      </x:c>
      <x:c r="J23" s="39"/>
      <x:c r="K23" s="39"/>
      <x:c r="L23" s="39"/>
      <x:c r="M23" s="39"/>
    </x:row>
    <x:row r="24" ht="27" customHeight="1">
      <x:c r="A24" s="48" t="str">
        <x:f>'Project Tracker'!A9</x:f>
        <x:v>P04</x:v>
      </x:c>
      <x:c r="B24" s="48" t="str">
        <x:f>'Project Tracker'!B9</x:f>
        <x:v>18-slide first draft</x:v>
      </x:c>
      <x:c r="C24" s="50" t="n">
        <x:f>'Project Tracker'!E9</x:f>
        <x:v>46338</x:v>
      </x:c>
      <x:c r="D24" s="48" t="str">
        <x:f>'Project Tracker'!H9</x:f>
        <x:v>Due soon</x:v>
      </x:c>
      <x:c r="E24" s="52" t="n">
        <x:f>'Project Tracker'!K9</x:f>
        <x:v>3</x:v>
      </x:c>
      <x:c r="F24" s="48" t="str">
        <x:f>'Project Tracker'!L9</x:f>
        <x:v>Confirm next step</x:v>
      </x:c>
      <x:c r="G24" s="39"/>
      <x:c r="H24" s="39" t="s">
        <x:v>45</x:v>
      </x:c>
      <x:c r="I24" s="39" t="n">
        <x:f>COUNTIF('Project Tracker'!$F$6:$F$17,H24)</x:f>
        <x:v>3</x:v>
      </x:c>
      <x:c r="J24" s="39"/>
      <x:c r="K24" s="39"/>
      <x:c r="L24" s="39"/>
      <x:c r="M24" s="39"/>
    </x:row>
    <x:row r="25" ht="27" customHeight="1">
      <x:c r="A25" s="49" t="str">
        <x:f>'Project Tracker'!A10</x:f>
        <x:v>P05</x:v>
      </x:c>
      <x:c r="B25" s="49" t="str">
        <x:f>'Project Tracker'!B10</x:f>
        <x:v>Scientific &amp; accuracy review</x:v>
      </x:c>
      <x:c r="C25" s="51" t="n">
        <x:f>'Project Tracker'!E10</x:f>
        <x:v>46340</x:v>
      </x:c>
      <x:c r="D25" s="49" t="str">
        <x:f>'Project Tracker'!H10</x:f>
        <x:v>Blocked</x:v>
      </x:c>
      <x:c r="E25" s="53" t="n">
        <x:f>'Project Tracker'!K10</x:f>
        <x:v>3</x:v>
      </x:c>
      <x:c r="F25" s="49" t="str">
        <x:f>'Project Tracker'!L10</x:f>
        <x:v>Resolve dependency</x:v>
      </x:c>
      <x:c r="G25" s="39"/>
      <x:c r="H25" s="39" t="s">
        <x:v>59</x:v>
      </x:c>
      <x:c r="I25" s="39" t="n">
        <x:f>COUNTIF('Project Tracker'!$F$6:$F$17,H25)</x:f>
        <x:v>1</x:v>
      </x:c>
      <x:c r="J25" s="39"/>
      <x:c r="K25" s="39"/>
      <x:c r="L25" s="39"/>
      <x:c r="M25" s="39"/>
    </x:row>
    <x:row r="26" ht="27" customHeight="1">
      <x:c r="A26" s="48" t="str">
        <x:f>'Project Tracker'!A11</x:f>
        <x:v>P06</x:v>
      </x:c>
      <x:c r="B26" s="48" t="str">
        <x:f>'Project Tracker'!B11</x:f>
        <x:v>Design &amp; formatting</x:v>
      </x:c>
      <x:c r="C26" s="50" t="n">
        <x:f>'Project Tracker'!E11</x:f>
        <x:v>46345</x:v>
      </x:c>
      <x:c r="D26" s="48" t="str">
        <x:f>'Project Tracker'!H11</x:f>
        <x:v>At risk</x:v>
      </x:c>
      <x:c r="E26" s="52" t="n">
        <x:f>'Project Tracker'!K11</x:f>
        <x:v>6</x:v>
      </x:c>
      <x:c r="F26" s="48" t="str">
        <x:f>'Project Tracker'!L11</x:f>
        <x:v>Recheck capacity / plan</x:v>
      </x:c>
      <x:c r="G26" s="39"/>
      <x:c r="H26" s="39" t="s">
        <x:v>64</x:v>
      </x:c>
      <x:c r="I26" s="39" t="n">
        <x:f>COUNTIF('Project Tracker'!$F$6:$F$17,H26)</x:f>
        <x:v>1</x:v>
      </x:c>
      <x:c r="J26" s="39"/>
      <x:c r="K26" s="39"/>
      <x:c r="L26" s="39"/>
      <x:c r="M26" s="39"/>
    </x:row>
    <x:row r="27" ht="27" customHeight="1">
      <x:c r="A27" s="49" t="str">
        <x:f>'Project Tracker'!A12</x:f>
        <x:v>P07</x:v>
      </x:c>
      <x:c r="B27" s="49" t="str">
        <x:f>'Project Tracker'!B12</x:f>
        <x:v>Client content review</x:v>
      </x:c>
      <x:c r="C27" s="51" t="n">
        <x:f>'Project Tracker'!E12</x:f>
        <x:v>46347</x:v>
      </x:c>
      <x:c r="D27" s="49" t="str">
        <x:f>'Project Tracker'!H12</x:f>
        <x:v>At risk</x:v>
      </x:c>
      <x:c r="E27" s="53" t="n">
        <x:f>'Project Tracker'!K12</x:f>
        <x:v>4</x:v>
      </x:c>
      <x:c r="F27" s="49" t="str">
        <x:f>'Project Tracker'!L12</x:f>
        <x:v>Recheck capacity / plan</x:v>
      </x:c>
      <x:c r="G27" s="39"/>
      <x:c r="H27" s="39" t="s">
        <x:v>70</x:v>
      </x:c>
      <x:c r="I27" s="39" t="n">
        <x:f>COUNTIF('Project Tracker'!$F$6:$F$17,H27)</x:f>
        <x:v>7</x:v>
      </x:c>
      <x:c r="J27" s="39"/>
      <x:c r="K27" s="39"/>
      <x:c r="L27" s="39"/>
      <x:c r="M27" s="39"/>
    </x:row>
    <x:row r="28" ht="30" customHeight="1">
      <x:c r="A28" s="48" t="str">
        <x:f>'Project Tracker'!A13</x:f>
        <x:v>P08</x:v>
      </x:c>
      <x:c r="B28" s="48" t="str">
        <x:f>'Project Tracker'!B13</x:f>
        <x:v>Final medical &amp; client approval</x:v>
      </x:c>
      <x:c r="C28" s="50" t="n">
        <x:f>'Project Tracker'!E13</x:f>
        <x:v>46349</x:v>
      </x:c>
      <x:c r="D28" s="48" t="str">
        <x:f>'Project Tracker'!H13</x:f>
        <x:v>At risk</x:v>
      </x:c>
      <x:c r="E28" s="52" t="n">
        <x:f>'Project Tracker'!K13</x:f>
        <x:v>3</x:v>
      </x:c>
      <x:c r="F28" s="48" t="str">
        <x:f>'Project Tracker'!L13</x:f>
        <x:v>Recheck capacity / plan</x:v>
      </x:c>
      <x:c r="G28" s="39"/>
      <x:c r="H28" s="39"/>
      <x:c r="I28" s="39"/>
      <x:c r="J28" s="39"/>
      <x:c r="K28" s="39"/>
      <x:c r="L28" s="39"/>
      <x:c r="M28" s="39"/>
    </x:row>
    <x:row r="29" ht="30" customHeight="1">
      <x:c r="A29" s="49" t="str">
        <x:f>'Project Tracker'!A16</x:f>
        <x:v>P11</x:v>
      </x:c>
      <x:c r="B29" s="49" t="str">
        <x:f>'Project Tracker'!B16</x:f>
        <x:v>HCP educational webinar</x:v>
      </x:c>
      <x:c r="C29" s="51" t="n">
        <x:f>'Project Tracker'!E16</x:f>
        <x:v>46351</x:v>
      </x:c>
      <x:c r="D29" s="49" t="str">
        <x:f>'Project Tracker'!H16</x:f>
        <x:v>On track</x:v>
      </x:c>
      <x:c r="E29" s="53" t="n">
        <x:f>'Project Tracker'!K16</x:f>
        <x:v>0</x:v>
      </x:c>
      <x:c r="F29" s="49" t="str">
        <x:f>'Project Tracker'!L16</x:f>
        <x:v>Monitor</x:v>
      </x:c>
      <x:c r="G29" s="39"/>
      <x:c r="H29" s="39"/>
      <x:c r="I29" s="39"/>
      <x:c r="J29" s="39"/>
      <x:c r="K29" s="39"/>
      <x:c r="L29" s="39"/>
      <x:c r="M29" s="39"/>
    </x:row>
    <x:row r="30" ht="23.100000381469727" customHeight="1">
      <x:c r="A30" s="39"/>
      <x:c r="B30" s="39"/>
      <x:c r="C30" s="39"/>
      <x:c r="D30" s="39"/>
      <x:c r="E30" s="39"/>
      <x:c r="F30" s="39"/>
      <x:c r="G30" s="39"/>
      <x:c r="H30" s="39"/>
      <x:c r="I30" s="39"/>
      <x:c r="J30" s="39"/>
      <x:c r="K30" s="39"/>
      <x:c r="L30" s="39"/>
      <x:c r="M30" s="39"/>
    </x:row>
    <x:row r="31" ht="23.100000381469727" customHeight="1">
      <x:c r="A31" s="39"/>
      <x:c r="B31" s="39"/>
      <x:c r="C31" s="39"/>
      <x:c r="D31" s="39"/>
      <x:c r="E31" s="39"/>
      <x:c r="F31" s="39"/>
      <x:c r="G31" s="39"/>
      <x:c r="H31" s="39"/>
      <x:c r="I31" s="39"/>
      <x:c r="J31" s="39"/>
      <x:c r="K31" s="39"/>
      <x:c r="L31" s="39"/>
      <x:c r="M31" s="39"/>
    </x:row>
    <x:row r="32" ht="26.100000381469727" customHeight="1">
      <x:c r="A32" s="100" t="s">
        <x:v>336</x:v>
      </x:c>
      <x:c r="B32" s="100"/>
      <x:c r="C32" s="100"/>
      <x:c r="D32" s="100"/>
      <x:c r="E32" s="100"/>
      <x:c r="F32" s="100"/>
      <x:c r="G32" s="100"/>
      <x:c r="H32" s="100"/>
      <x:c r="I32" s="100"/>
      <x:c r="J32" s="100"/>
      <x:c r="K32" s="100"/>
      <x:c r="L32" s="100"/>
      <x:c r="M32" s="100"/>
    </x:row>
    <x:row r="33" ht="23.100000381469727" customHeight="1">
      <x:c r="A33" s="39"/>
      <x:c r="B33" s="39"/>
      <x:c r="C33" s="39"/>
      <x:c r="D33" s="39"/>
      <x:c r="E33" s="39"/>
      <x:c r="F33" s="39"/>
      <x:c r="G33" s="39"/>
      <x:c r="H33" s="39"/>
      <x:c r="I33" s="39"/>
      <x:c r="J33" s="39"/>
      <x:c r="K33" s="39"/>
      <x:c r="L33" s="39"/>
      <x:c r="M33" s="39"/>
    </x:row>
    <x:row r="34" ht="29.100000381469727" customHeight="1">
      <x:c r="A34" s="102" t="s">
        <x:v>337</x:v>
      </x:c>
      <x:c r="B34" s="102"/>
      <x:c r="C34" s="102"/>
      <x:c r="D34" s="102"/>
      <x:c r="E34" s="102"/>
      <x:c r="F34" s="102"/>
      <x:c r="G34" s="102"/>
      <x:c r="H34" s="102"/>
      <x:c r="I34" s="102"/>
      <x:c r="J34" s="102"/>
      <x:c r="K34" s="102"/>
      <x:c r="L34" s="102"/>
      <x:c r="M34" s="102"/>
    </x:row>
    <x:row r="35" ht="29.100000381469727" customHeight="1">
      <x:c r="A35" s="103" t="s">
        <x:v>338</x:v>
      </x:c>
      <x:c r="B35" s="103"/>
      <x:c r="C35" s="103"/>
      <x:c r="D35" s="103"/>
      <x:c r="E35" s="103"/>
      <x:c r="F35" s="103"/>
      <x:c r="G35" s="103"/>
      <x:c r="H35" s="103"/>
      <x:c r="I35" s="103"/>
      <x:c r="J35" s="103"/>
      <x:c r="K35" s="103"/>
      <x:c r="L35" s="103"/>
      <x:c r="M35" s="103"/>
    </x:row>
    <x:row r="36" ht="29.100000381469727" customHeight="1">
      <x:c r="A36" s="102" t="s">
        <x:v>339</x:v>
      </x:c>
      <x:c r="B36" s="102"/>
      <x:c r="C36" s="102"/>
      <x:c r="D36" s="102"/>
      <x:c r="E36" s="102"/>
      <x:c r="F36" s="102"/>
      <x:c r="G36" s="102"/>
      <x:c r="H36" s="102"/>
      <x:c r="I36" s="102"/>
      <x:c r="J36" s="102"/>
      <x:c r="K36" s="102"/>
      <x:c r="L36" s="102"/>
      <x:c r="M36" s="102"/>
    </x:row>
    <x:row r="37" ht="29.100000381469727" customHeight="1">
      <x:c r="A37" s="103" t="s">
        <x:v>340</x:v>
      </x:c>
      <x:c r="B37" s="103"/>
      <x:c r="C37" s="103"/>
      <x:c r="D37" s="103"/>
      <x:c r="E37" s="103"/>
      <x:c r="F37" s="103"/>
      <x:c r="G37" s="103"/>
      <x:c r="H37" s="103"/>
      <x:c r="I37" s="103"/>
      <x:c r="J37" s="103"/>
      <x:c r="K37" s="103"/>
      <x:c r="L37" s="103"/>
      <x:c r="M37" s="103"/>
    </x:row>
    <x:row r="38" ht="23.100000381469727" customHeight="1">
      <x:c r="A38" s="39"/>
      <x:c r="B38" s="39"/>
      <x:c r="C38" s="39"/>
      <x:c r="D38" s="39"/>
      <x:c r="E38" s="39"/>
      <x:c r="F38" s="39"/>
      <x:c r="G38" s="39"/>
      <x:c r="H38" s="39"/>
      <x:c r="I38" s="39"/>
      <x:c r="J38" s="39"/>
      <x:c r="K38" s="39"/>
      <x:c r="L38" s="39"/>
      <x:c r="M38" s="39"/>
    </x:row>
    <x:row r="39" ht="27.950000762939453" customHeight="1">
      <x:c r="A39" s="104" t="s">
        <x:v>341</x:v>
      </x:c>
      <x:c r="B39" s="104"/>
      <x:c r="C39" s="104"/>
      <x:c r="D39" s="104"/>
      <x:c r="E39" s="104"/>
      <x:c r="F39" s="104"/>
      <x:c r="G39" s="104"/>
      <x:c r="H39" s="104"/>
      <x:c r="I39" s="104"/>
      <x:c r="J39" s="39"/>
      <x:c r="K39" s="39"/>
      <x:c r="L39" s="39"/>
      <x:c r="M39" s="39"/>
    </x:row>
    <x:row r="40" ht="23.100000381469727" customHeight="1">
      <x:c r="A40" s="39"/>
      <x:c r="B40" s="39"/>
      <x:c r="C40" s="39"/>
      <x:c r="D40" s="39"/>
      <x:c r="E40" s="39"/>
      <x:c r="F40" s="39"/>
      <x:c r="G40" s="39"/>
      <x:c r="H40" s="39"/>
      <x:c r="I40" s="39"/>
      <x:c r="J40" s="39"/>
      <x:c r="K40" s="39"/>
      <x:c r="L40" s="39"/>
      <x:c r="M40" s="39"/>
    </x:row>
    <x:row r="41" ht="23.100000381469727" customHeight="1">
      <x:c r="A41" s="39"/>
      <x:c r="B41" s="39"/>
      <x:c r="C41" s="39"/>
      <x:c r="D41" s="39"/>
      <x:c r="E41" s="39"/>
      <x:c r="F41" s="39"/>
      <x:c r="G41" s="39"/>
      <x:c r="H41" s="39"/>
      <x:c r="I41" s="39"/>
      <x:c r="J41" s="39"/>
      <x:c r="K41" s="39"/>
      <x:c r="L41" s="39"/>
      <x:c r="M41" s="39"/>
    </x:row>
    <x:row r="42" ht="23.100000381469727" customHeight="1">
      <x:c r="A42" s="39"/>
      <x:c r="B42" s="39"/>
      <x:c r="C42" s="39"/>
      <x:c r="D42" s="39"/>
      <x:c r="E42" s="39"/>
      <x:c r="F42" s="39"/>
      <x:c r="G42" s="39"/>
      <x:c r="H42" s="39"/>
      <x:c r="I42" s="39"/>
      <x:c r="J42" s="39"/>
      <x:c r="K42" s="39"/>
      <x:c r="L42" s="39"/>
      <x:c r="M42" s="39"/>
    </x:row>
    <x:row r="43" ht="23.100000381469727" customHeight="1">
      <x:c r="A43" s="39"/>
      <x:c r="B43" s="39"/>
      <x:c r="C43" s="39"/>
      <x:c r="D43" s="39"/>
      <x:c r="E43" s="39"/>
      <x:c r="F43" s="39"/>
      <x:c r="G43" s="39"/>
      <x:c r="H43" s="39"/>
      <x:c r="I43" s="39"/>
      <x:c r="J43" s="39"/>
      <x:c r="K43" s="39"/>
      <x:c r="L43" s="39"/>
      <x:c r="M43" s="39"/>
    </x:row>
    <x:row r="44" ht="23.100000381469727" customHeight="1">
      <x:c r="A44" s="39"/>
      <x:c r="B44" s="39"/>
      <x:c r="C44" s="39"/>
      <x:c r="D44" s="39"/>
      <x:c r="E44" s="39"/>
      <x:c r="F44" s="39"/>
      <x:c r="G44" s="39"/>
      <x:c r="H44" s="39"/>
      <x:c r="I44" s="39"/>
      <x:c r="J44" s="39"/>
      <x:c r="K44" s="39"/>
      <x:c r="L44" s="39"/>
      <x:c r="M44" s="39"/>
    </x:row>
    <x:row r="45" ht="23.100000381469727" customHeight="1">
      <x:c r="A45" s="39"/>
      <x:c r="B45" s="39"/>
      <x:c r="C45" s="39"/>
      <x:c r="D45" s="39"/>
      <x:c r="E45" s="39"/>
      <x:c r="F45" s="39"/>
      <x:c r="G45" s="39"/>
      <x:c r="H45" s="39"/>
      <x:c r="I45" s="39"/>
      <x:c r="J45" s="39"/>
      <x:c r="K45" s="39"/>
      <x:c r="L45" s="39"/>
      <x:c r="M45" s="39"/>
    </x:row>
    <x:row r="46" ht="23.100000381469727" customHeight="1">
      <x:c r="A46" s="39"/>
      <x:c r="B46" s="39"/>
      <x:c r="C46" s="39"/>
      <x:c r="D46" s="39"/>
      <x:c r="E46" s="39"/>
      <x:c r="F46" s="39"/>
      <x:c r="G46" s="39"/>
      <x:c r="H46" s="39"/>
      <x:c r="I46" s="39"/>
      <x:c r="J46" s="39"/>
      <x:c r="K46" s="39"/>
      <x:c r="L46" s="39"/>
      <x:c r="M46" s="39"/>
    </x:row>
    <x:row r="47" ht="23.100000381469727" customHeight="1">
      <x:c r="A47" s="39"/>
      <x:c r="B47" s="39"/>
      <x:c r="C47" s="39"/>
      <x:c r="D47" s="39"/>
      <x:c r="E47" s="39"/>
      <x:c r="F47" s="39"/>
      <x:c r="G47" s="39"/>
      <x:c r="H47" s="39"/>
      <x:c r="I47" s="39"/>
      <x:c r="J47" s="39"/>
      <x:c r="K47" s="39"/>
      <x:c r="L47" s="39"/>
      <x:c r="M47" s="39"/>
    </x:row>
    <x:row r="48" ht="23.100000381469727" customHeight="1">
      <x:c r="A48" s="39"/>
      <x:c r="B48" s="39"/>
      <x:c r="C48" s="39"/>
      <x:c r="D48" s="39"/>
      <x:c r="E48" s="39"/>
      <x:c r="F48" s="39"/>
      <x:c r="G48" s="39"/>
      <x:c r="H48" s="39"/>
      <x:c r="I48" s="39"/>
      <x:c r="J48" s="39"/>
      <x:c r="K48" s="39"/>
      <x:c r="L48" s="39"/>
      <x:c r="M48" s="39"/>
    </x:row>
    <x:row r="49" ht="23.100000381469727" customHeight="1">
      <x:c r="A49" s="39"/>
      <x:c r="B49" s="39"/>
      <x:c r="C49" s="39"/>
      <x:c r="D49" s="39"/>
      <x:c r="E49" s="39"/>
      <x:c r="F49" s="39"/>
      <x:c r="G49" s="39"/>
      <x:c r="H49" s="39"/>
      <x:c r="I49" s="39"/>
      <x:c r="J49" s="39"/>
      <x:c r="K49" s="39"/>
      <x:c r="L49" s="39"/>
      <x:c r="M49" s="39"/>
    </x:row>
    <x:row r="50" ht="23.100000381469727" customHeight="1">
      <x:c r="A50" s="39"/>
      <x:c r="B50" s="39"/>
      <x:c r="C50" s="39"/>
      <x:c r="D50" s="39"/>
      <x:c r="E50" s="39"/>
      <x:c r="F50" s="39"/>
      <x:c r="G50" s="39"/>
      <x:c r="H50" s="39"/>
      <x:c r="I50" s="39"/>
      <x:c r="J50" s="39"/>
      <x:c r="K50" s="39"/>
      <x:c r="L50" s="39"/>
      <x:c r="M50" s="39"/>
    </x:row>
    <x:row r="51" ht="23.100000381469727" customHeight="1">
      <x:c r="A51" s="39"/>
      <x:c r="B51" s="39"/>
      <x:c r="C51" s="39"/>
      <x:c r="D51" s="39"/>
      <x:c r="E51" s="39"/>
      <x:c r="F51" s="39"/>
      <x:c r="G51" s="39"/>
      <x:c r="H51" s="39"/>
      <x:c r="I51" s="39"/>
      <x:c r="J51" s="39"/>
      <x:c r="K51" s="39"/>
      <x:c r="L51" s="39"/>
      <x:c r="M51" s="39"/>
    </x:row>
    <x:row r="52" ht="23.100000381469727" customHeight="1">
      <x:c r="A52" s="39"/>
      <x:c r="B52" s="39"/>
      <x:c r="C52" s="39"/>
      <x:c r="D52" s="39"/>
      <x:c r="E52" s="39"/>
      <x:c r="F52" s="39"/>
      <x:c r="G52" s="39"/>
      <x:c r="H52" s="39"/>
      <x:c r="I52" s="39"/>
      <x:c r="J52" s="39"/>
      <x:c r="K52" s="39"/>
      <x:c r="L52" s="39"/>
      <x:c r="M52" s="39"/>
    </x:row>
  </x:sheetData>
  <x:mergeCells>
    <x:mergeCell ref="A39:I39"/>
    <x:mergeCell ref="A32:M32"/>
    <x:mergeCell ref="A34:M34"/>
    <x:mergeCell ref="A35:M35"/>
    <x:mergeCell ref="A36:M36"/>
    <x:mergeCell ref="A37:M37"/>
    <x:mergeCell ref="A1:M2"/>
    <x:mergeCell ref="A3:M3"/>
    <x:mergeCell ref="A7:M7"/>
    <x:mergeCell ref="A15:M15"/>
    <x:mergeCell ref="A21:F21"/>
    <x:mergeCell ref="H21:M21"/>
  </x:mergeCells>
  <x:conditionalFormatting sqref="D24:D29">
    <x:cfRule type="expression" dxfId="11" priority="1">
      <x:formula>OR(D24="Blocked",D24="Overdue")</x:formula>
    </x:cfRule>
    <x:cfRule type="expression" dxfId="10" priority="2">
      <x:formula>OR(D24="At risk",D24="Due soon")</x:formula>
    </x:cfRule>
  </x:conditionalFormatting>
  <x:pageMargins left="0.7" right="0.7" top="0.75" bottom="0.75" header="0.3" footer="0.3"/>
  <x:drawing xmlns:r="http://schemas.openxmlformats.org/officeDocument/2006/relationships" r:id="Rad98a980848e4cf5"/>
</x:worksheet>
</file>

<file path=xl/worksheets/sheet11.xml><?xml version="1.0" encoding="utf-8"?>
<x:worksheet xmlns:x="http://schemas.openxmlformats.org/spreadsheetml/2006/main">
  <x:sheetViews>
    <x:sheetView workbookViewId="0">
      <x:pane ySplit="8" topLeftCell="A9" activePane="bottomLeft" state="frozen"/>
    </x:sheetView>
  </x:sheetViews>
  <x:sheetFormatPr defaultRowHeight="14.25"/>
  <x:cols>
    <x:col min="1" max="1" width="8" customWidth="1"/>
    <x:col min="2" max="2" width="36" customWidth="1"/>
    <x:col min="3" max="4" width="14" customWidth="1"/>
    <x:col min="5" max="6" width="15" customWidth="1"/>
    <x:col min="7" max="7" width="14" customWidth="1"/>
    <x:col min="8" max="8" width="12" customWidth="1"/>
    <x:col min="9" max="9" width="10" customWidth="1"/>
    <x:col min="10" max="10" width="16" customWidth="1"/>
    <x:col min="11" max="11" width="13" customWidth="1"/>
    <x:col min="12" max="43" width="4.625" customWidth="1"/>
  </x:cols>
  <x:sheetData>
    <x:row r="1" ht="24.950000762939453" customHeight="1">
      <x:c r="A1" s="113" t="s">
        <x:v>342</x:v>
      </x:c>
      <x:c r="B1" s="113"/>
      <x:c r="C1" s="113"/>
      <x:c r="D1" s="113"/>
      <x:c r="E1" s="113"/>
      <x:c r="F1" s="113"/>
      <x:c r="G1" s="113"/>
      <x:c r="H1" s="113"/>
      <x:c r="I1" s="113"/>
      <x:c r="J1" s="113"/>
      <x:c r="K1" s="113"/>
      <x:c r="L1" s="114" t="s">
        <x:v>343</x:v>
      </x:c>
      <x:c r="M1" s="114"/>
      <x:c r="N1" s="114"/>
      <x:c r="O1" s="114"/>
      <x:c r="P1" s="114"/>
      <x:c r="Q1" s="114"/>
      <x:c r="R1" s="114"/>
      <x:c r="S1" s="114"/>
      <x:c r="T1" s="114"/>
      <x:c r="U1" s="114"/>
      <x:c r="V1" s="114"/>
      <x:c r="W1" s="114"/>
      <x:c r="X1" s="114"/>
      <x:c r="Y1" s="114"/>
      <x:c r="Z1" s="114"/>
      <x:c r="AA1" s="114"/>
      <x:c r="AB1" s="114"/>
      <x:c r="AC1" s="114"/>
      <x:c r="AD1" s="114"/>
      <x:c r="AE1" s="114"/>
      <x:c r="AF1" s="114"/>
      <x:c r="AG1" s="114"/>
      <x:c r="AH1" s="114"/>
      <x:c r="AI1" s="114"/>
      <x:c r="AJ1" s="114"/>
      <x:c r="AK1" s="114"/>
      <x:c r="AL1" s="114"/>
      <x:c r="AM1" s="114"/>
      <x:c r="AN1" s="114"/>
      <x:c r="AO1" s="114"/>
      <x:c r="AP1" s="114"/>
      <x:c r="AQ1" s="114"/>
    </x:row>
    <x:row r="2" ht="24.950000762939453" customHeight="1">
      <x:c r="A2" s="113"/>
      <x:c r="B2" s="113"/>
      <x:c r="C2" s="113"/>
      <x:c r="D2" s="113"/>
      <x:c r="E2" s="113"/>
      <x:c r="F2" s="113"/>
      <x:c r="G2" s="113"/>
      <x:c r="H2" s="113"/>
      <x:c r="I2" s="113"/>
      <x:c r="J2" s="113"/>
      <x:c r="K2" s="113"/>
      <x:c r="L2" s="114"/>
      <x:c r="M2" s="114"/>
      <x:c r="N2" s="114"/>
      <x:c r="O2" s="114"/>
      <x:c r="P2" s="114"/>
      <x:c r="Q2" s="114"/>
      <x:c r="R2" s="114"/>
      <x:c r="S2" s="114"/>
      <x:c r="T2" s="114"/>
      <x:c r="U2" s="114"/>
      <x:c r="V2" s="114"/>
      <x:c r="W2" s="114"/>
      <x:c r="X2" s="114"/>
      <x:c r="Y2" s="114"/>
      <x:c r="Z2" s="114"/>
      <x:c r="AA2" s="114"/>
      <x:c r="AB2" s="114"/>
      <x:c r="AC2" s="114"/>
      <x:c r="AD2" s="114"/>
      <x:c r="AE2" s="114"/>
      <x:c r="AF2" s="114"/>
      <x:c r="AG2" s="114"/>
      <x:c r="AH2" s="114"/>
      <x:c r="AI2" s="114"/>
      <x:c r="AJ2" s="114"/>
      <x:c r="AK2" s="114"/>
      <x:c r="AL2" s="114"/>
      <x:c r="AM2" s="114"/>
      <x:c r="AN2" s="114"/>
      <x:c r="AO2" s="114"/>
      <x:c r="AP2" s="114"/>
      <x:c r="AQ2" s="114"/>
    </x:row>
    <x:row r="3" ht="23.100000381469727" customHeight="1">
      <x:c r="A3" s="115" t="s">
        <x:v>344</x:v>
      </x:c>
      <x:c r="B3" s="115"/>
      <x:c r="C3" s="115"/>
      <x:c r="D3" s="115"/>
      <x:c r="E3" s="115"/>
      <x:c r="F3" s="115"/>
      <x:c r="G3" s="115"/>
      <x:c r="H3" s="115"/>
      <x:c r="I3" s="115"/>
      <x:c r="J3" s="115"/>
      <x:c r="K3" s="115"/>
      <x:c r="L3" s="115" t="str">
        <x:v>◆ revised due     │ original due     ■ work window     amber = revised schedule</x:v>
      </x:c>
      <x:c r="M3" s="115"/>
      <x:c r="N3" s="115"/>
      <x:c r="O3" s="115"/>
      <x:c r="P3" s="115"/>
      <x:c r="Q3" s="115"/>
      <x:c r="R3" s="115"/>
      <x:c r="S3" s="115"/>
      <x:c r="T3" s="115"/>
      <x:c r="U3" s="115"/>
      <x:c r="V3" s="115"/>
      <x:c r="W3" s="115"/>
      <x:c r="X3" s="115"/>
      <x:c r="Y3" s="115"/>
      <x:c r="Z3" s="115"/>
      <x:c r="AA3" s="115"/>
      <x:c r="AB3" s="115"/>
      <x:c r="AC3" s="115"/>
      <x:c r="AD3" s="115"/>
      <x:c r="AE3" s="115"/>
      <x:c r="AF3" s="115"/>
      <x:c r="AG3" s="115"/>
      <x:c r="AH3" s="115"/>
      <x:c r="AI3" s="115"/>
      <x:c r="AJ3" s="115"/>
      <x:c r="AK3" s="115"/>
      <x:c r="AL3" s="115"/>
      <x:c r="AM3" s="115"/>
      <x:c r="AN3" s="115"/>
      <x:c r="AO3" s="115"/>
      <x:c r="AP3" s="115"/>
      <x:c r="AQ3" s="115"/>
    </x:row>
    <x:row r="4" ht="26.100000381469727" customHeight="1">
      <x:c r="A4" s="105" t="s">
        <x:v>345</x:v>
      </x:c>
      <x:c r="B4" s="105"/>
      <x:c r="C4" s="54" t="n">
        <x:f>COUNTIF(I9:I20,"&gt;0")</x:f>
        <x:v>5</x:v>
      </x:c>
      <x:c r="E4" s="105" t="s">
        <x:v>346</x:v>
      </x:c>
      <x:c r="F4" s="105"/>
      <x:c r="G4" s="54" t="n">
        <x:f>COUNTIF(J9:J20,"CONFLICT")</x:f>
        <x:v>2</x:v>
      </x:c>
      <x:c r="I4" s="105" t="s">
        <x:v>347</x:v>
      </x:c>
      <x:c r="J4" s="105"/>
      <x:c r="K4" s="55" t="n">
        <x:f>MAX(F9:F20)</x:f>
        <x:v>46353</x:v>
      </x:c>
    </x:row>
    <x:row r="5" ht="24.950000762939453" customHeight="1">
      <x:c r="A5" s="116" t="str">
        <x:v>SCHEDULE CONTROL  |  REVISED DATES AND DEPENDENCY CHECKS</x:v>
      </x:c>
      <x:c r="B5" s="116"/>
      <x:c r="C5" s="116"/>
      <x:c r="D5" s="116"/>
      <x:c r="E5" s="116"/>
      <x:c r="F5" s="116"/>
      <x:c r="G5" s="116"/>
      <x:c r="H5" s="116"/>
      <x:c r="I5" s="116"/>
      <x:c r="J5" s="116"/>
      <x:c r="K5" s="116"/>
      <x:c r="L5" s="116" t="s">
        <x:v>348</x:v>
      </x:c>
      <x:c r="M5" s="116"/>
      <x:c r="N5" s="116"/>
      <x:c r="O5" s="116"/>
      <x:c r="P5" s="116"/>
      <x:c r="Q5" s="116"/>
      <x:c r="R5" s="116"/>
      <x:c r="S5" s="116"/>
      <x:c r="T5" s="116"/>
      <x:c r="U5" s="116"/>
      <x:c r="V5" s="116"/>
      <x:c r="W5" s="116"/>
      <x:c r="X5" s="116"/>
      <x:c r="Y5" s="116"/>
      <x:c r="Z5" s="116"/>
      <x:c r="AA5" s="116"/>
      <x:c r="AB5" s="116"/>
      <x:c r="AC5" s="116"/>
      <x:c r="AD5" s="116"/>
      <x:c r="AE5" s="116"/>
      <x:c r="AF5" s="116"/>
      <x:c r="AG5" s="116"/>
      <x:c r="AH5" s="116"/>
      <x:c r="AI5" s="116"/>
      <x:c r="AJ5" s="116"/>
      <x:c r="AK5" s="116"/>
      <x:c r="AL5" s="116"/>
      <x:c r="AM5" s="116"/>
      <x:c r="AN5" s="116"/>
      <x:c r="AO5" s="116"/>
      <x:c r="AP5" s="116"/>
      <x:c r="AQ5" s="116"/>
    </x:row>
    <x:row r="6" ht="24.950000762939453" customHeight="1">
      <x:c r="A6" s="106" t="s">
        <x:v>349</x:v>
      </x:c>
      <x:c r="B6" s="106"/>
      <x:c r="C6" s="106"/>
      <x:c r="D6" s="106"/>
      <x:c r="E6" s="106"/>
      <x:c r="F6" s="106"/>
      <x:c r="G6" s="106"/>
      <x:c r="H6" s="106"/>
      <x:c r="I6" s="106"/>
      <x:c r="J6" s="106"/>
      <x:c r="K6" s="106"/>
      <x:c r="L6" s="107" t="s">
        <x:v>350</x:v>
      </x:c>
      <x:c r="M6" s="107"/>
      <x:c r="N6" s="107"/>
      <x:c r="O6" s="107"/>
      <x:c r="P6" s="107"/>
      <x:c r="Q6" s="107"/>
      <x:c r="R6" s="107"/>
      <x:c r="S6" s="108" t="s">
        <x:v>351</x:v>
      </x:c>
      <x:c r="T6" s="108"/>
      <x:c r="U6" s="108"/>
      <x:c r="V6" s="108"/>
      <x:c r="W6" s="108"/>
      <x:c r="X6" s="108"/>
      <x:c r="Y6" s="108"/>
      <x:c r="Z6" s="107" t="s">
        <x:v>352</x:v>
      </x:c>
      <x:c r="AA6" s="107"/>
      <x:c r="AB6" s="107"/>
      <x:c r="AC6" s="107"/>
      <x:c r="AD6" s="107"/>
      <x:c r="AE6" s="107"/>
      <x:c r="AF6" s="107"/>
      <x:c r="AG6" s="108" t="s">
        <x:v>353</x:v>
      </x:c>
      <x:c r="AH6" s="108"/>
      <x:c r="AI6" s="108"/>
      <x:c r="AJ6" s="108"/>
      <x:c r="AK6" s="108"/>
      <x:c r="AL6" s="108"/>
      <x:c r="AM6" s="108"/>
      <x:c r="AN6" s="107" t="s">
        <x:v>354</x:v>
      </x:c>
      <x:c r="AO6" s="107"/>
      <x:c r="AP6" s="107"/>
      <x:c r="AQ6" s="107"/>
    </x:row>
    <x:row r="7" ht="20.100000381469727" customHeight="1">
      <x:c r="A7" s="109" t="s">
        <x:v>30</x:v>
      </x:c>
      <x:c r="B7" s="109" t="s">
        <x:v>355</x:v>
      </x:c>
      <x:c r="C7" s="109" t="s">
        <x:v>356</x:v>
      </x:c>
      <x:c r="D7" s="109" t="s">
        <x:v>357</x:v>
      </x:c>
      <x:c r="E7" s="109" t="s">
        <x:v>358</x:v>
      </x:c>
      <x:c r="F7" s="109" t="s">
        <x:v>359</x:v>
      </x:c>
      <x:c r="G7" s="109" t="s">
        <x:v>360</x:v>
      </x:c>
      <x:c r="H7" s="109" t="s">
        <x:v>361</x:v>
      </x:c>
      <x:c r="I7" s="109" t="s">
        <x:v>362</x:v>
      </x:c>
      <x:c r="J7" s="109" t="s">
        <x:v>363</x:v>
      </x:c>
      <x:c r="K7" s="109" t="s">
        <x:v>364</x:v>
      </x:c>
      <x:c r="L7" s="56" t="str">
        <x:f t="shared" ref="L7:AQ7" si="0">TEXT(L8,"ddd")</x:f>
        <x:v>Mon</x:v>
      </x:c>
      <x:c r="M7" s="56" t="str">
        <x:f t="shared" si="0"/>
        <x:v>Tue</x:v>
      </x:c>
      <x:c r="N7" s="56" t="str">
        <x:f t="shared" si="0"/>
        <x:v>Wed</x:v>
      </x:c>
      <x:c r="O7" s="56" t="str">
        <x:f t="shared" si="0"/>
        <x:v>Thu</x:v>
      </x:c>
      <x:c r="P7" s="56" t="str">
        <x:f t="shared" si="0"/>
        <x:v>Fri</x:v>
      </x:c>
      <x:c r="Q7" s="56" t="str">
        <x:f t="shared" si="0"/>
        <x:v>Sat</x:v>
      </x:c>
      <x:c r="R7" s="56" t="str">
        <x:f t="shared" si="0"/>
        <x:v>Sun</x:v>
      </x:c>
      <x:c r="S7" s="56" t="str">
        <x:f t="shared" si="0"/>
        <x:v>Mon</x:v>
      </x:c>
      <x:c r="T7" s="56" t="str">
        <x:f t="shared" si="0"/>
        <x:v>Tue</x:v>
      </x:c>
      <x:c r="U7" s="56" t="str">
        <x:f t="shared" si="0"/>
        <x:v>Wed</x:v>
      </x:c>
      <x:c r="V7" s="56" t="str">
        <x:f t="shared" si="0"/>
        <x:v>Thu</x:v>
      </x:c>
      <x:c r="W7" s="56" t="str">
        <x:f t="shared" si="0"/>
        <x:v>Fri</x:v>
      </x:c>
      <x:c r="X7" s="56" t="str">
        <x:f t="shared" si="0"/>
        <x:v>Sat</x:v>
      </x:c>
      <x:c r="Y7" s="56" t="str">
        <x:f t="shared" si="0"/>
        <x:v>Sun</x:v>
      </x:c>
      <x:c r="Z7" s="56" t="str">
        <x:f t="shared" si="0"/>
        <x:v>Mon</x:v>
      </x:c>
      <x:c r="AA7" s="56" t="str">
        <x:f t="shared" si="0"/>
        <x:v>Tue</x:v>
      </x:c>
      <x:c r="AB7" s="56" t="str">
        <x:f t="shared" si="0"/>
        <x:v>Wed</x:v>
      </x:c>
      <x:c r="AC7" s="56" t="str">
        <x:f t="shared" si="0"/>
        <x:v>Thu</x:v>
      </x:c>
      <x:c r="AD7" s="56" t="str">
        <x:f t="shared" si="0"/>
        <x:v>Fri</x:v>
      </x:c>
      <x:c r="AE7" s="56" t="str">
        <x:f t="shared" si="0"/>
        <x:v>Sat</x:v>
      </x:c>
      <x:c r="AF7" s="56" t="str">
        <x:f t="shared" si="0"/>
        <x:v>Sun</x:v>
      </x:c>
      <x:c r="AG7" s="56" t="str">
        <x:f t="shared" si="0"/>
        <x:v>Mon</x:v>
      </x:c>
      <x:c r="AH7" s="56" t="str">
        <x:f t="shared" si="0"/>
        <x:v>Tue</x:v>
      </x:c>
      <x:c r="AI7" s="56" t="str">
        <x:f t="shared" si="0"/>
        <x:v>Wed</x:v>
      </x:c>
      <x:c r="AJ7" s="56" t="str">
        <x:f t="shared" si="0"/>
        <x:v>Thu</x:v>
      </x:c>
      <x:c r="AK7" s="56" t="str">
        <x:f t="shared" si="0"/>
        <x:v>Fri</x:v>
      </x:c>
      <x:c r="AL7" s="56" t="str">
        <x:f t="shared" si="0"/>
        <x:v>Sat</x:v>
      </x:c>
      <x:c r="AM7" s="56" t="str">
        <x:f t="shared" si="0"/>
        <x:v>Sun</x:v>
      </x:c>
      <x:c r="AN7" s="56" t="str">
        <x:f t="shared" si="0"/>
        <x:v>Mon</x:v>
      </x:c>
      <x:c r="AO7" s="56" t="str">
        <x:f t="shared" si="0"/>
        <x:v>Tue</x:v>
      </x:c>
      <x:c r="AP7" s="56" t="str">
        <x:f t="shared" si="0"/>
        <x:v>Wed</x:v>
      </x:c>
      <x:c r="AQ7" s="56" t="str">
        <x:f t="shared" si="0"/>
        <x:v>Thu</x:v>
      </x:c>
    </x:row>
    <x:row r="8" ht="20.100000381469727" customHeight="1">
      <x:c r="A8" s="109"/>
      <x:c r="B8" s="109"/>
      <x:c r="C8" s="109"/>
      <x:c r="D8" s="109"/>
      <x:c r="E8" s="109"/>
      <x:c r="F8" s="109"/>
      <x:c r="G8" s="109"/>
      <x:c r="H8" s="109"/>
      <x:c r="I8" s="109"/>
      <x:c r="J8" s="109"/>
      <x:c r="K8" s="109"/>
      <x:c r="L8" s="57" t="n">
        <x:f>'Project Tracker'!$D$6</x:f>
        <x:v>46328</x:v>
      </x:c>
      <x:c r="M8" s="57" t="n">
        <x:f t="shared" ref="M8:AQ8" si="1">L8+1</x:f>
        <x:v>46329</x:v>
      </x:c>
      <x:c r="N8" s="57">
        <x:f t="shared" si="1"/>
        <x:v>46330</x:v>
      </x:c>
      <x:c r="O8" s="57">
        <x:f t="shared" si="1"/>
        <x:v>46331</x:v>
      </x:c>
      <x:c r="P8" s="57">
        <x:f t="shared" si="1"/>
        <x:v>46332</x:v>
      </x:c>
      <x:c r="Q8" s="57">
        <x:f t="shared" si="1"/>
        <x:v>46333</x:v>
      </x:c>
      <x:c r="R8" s="57">
        <x:f t="shared" si="1"/>
        <x:v>46334</x:v>
      </x:c>
      <x:c r="S8" s="57">
        <x:f t="shared" si="1"/>
        <x:v>46335</x:v>
      </x:c>
      <x:c r="T8" s="57">
        <x:f t="shared" si="1"/>
        <x:v>46336</x:v>
      </x:c>
      <x:c r="U8" s="57">
        <x:f t="shared" si="1"/>
        <x:v>46337</x:v>
      </x:c>
      <x:c r="V8" s="57">
        <x:f t="shared" si="1"/>
        <x:v>46338</x:v>
      </x:c>
      <x:c r="W8" s="57">
        <x:f t="shared" si="1"/>
        <x:v>46339</x:v>
      </x:c>
      <x:c r="X8" s="57">
        <x:f t="shared" si="1"/>
        <x:v>46340</x:v>
      </x:c>
      <x:c r="Y8" s="57">
        <x:f t="shared" si="1"/>
        <x:v>46341</x:v>
      </x:c>
      <x:c r="Z8" s="57">
        <x:f t="shared" si="1"/>
        <x:v>46342</x:v>
      </x:c>
      <x:c r="AA8" s="57">
        <x:f t="shared" si="1"/>
        <x:v>46343</x:v>
      </x:c>
      <x:c r="AB8" s="57">
        <x:f t="shared" si="1"/>
        <x:v>46344</x:v>
      </x:c>
      <x:c r="AC8" s="57">
        <x:f t="shared" si="1"/>
        <x:v>46345</x:v>
      </x:c>
      <x:c r="AD8" s="57">
        <x:f t="shared" si="1"/>
        <x:v>46346</x:v>
      </x:c>
      <x:c r="AE8" s="57">
        <x:f t="shared" si="1"/>
        <x:v>46347</x:v>
      </x:c>
      <x:c r="AF8" s="57">
        <x:f t="shared" si="1"/>
        <x:v>46348</x:v>
      </x:c>
      <x:c r="AG8" s="57">
        <x:f t="shared" si="1"/>
        <x:v>46349</x:v>
      </x:c>
      <x:c r="AH8" s="57">
        <x:f t="shared" si="1"/>
        <x:v>46350</x:v>
      </x:c>
      <x:c r="AI8" s="57">
        <x:f t="shared" si="1"/>
        <x:v>46351</x:v>
      </x:c>
      <x:c r="AJ8" s="57">
        <x:f t="shared" si="1"/>
        <x:v>46352</x:v>
      </x:c>
      <x:c r="AK8" s="57">
        <x:f t="shared" si="1"/>
        <x:v>46353</x:v>
      </x:c>
      <x:c r="AL8" s="57">
        <x:f t="shared" si="1"/>
        <x:v>46354</x:v>
      </x:c>
      <x:c r="AM8" s="57">
        <x:f t="shared" si="1"/>
        <x:v>46355</x:v>
      </x:c>
      <x:c r="AN8" s="57">
        <x:f t="shared" si="1"/>
        <x:v>46356</x:v>
      </x:c>
      <x:c r="AO8" s="57">
        <x:f t="shared" si="1"/>
        <x:v>46357</x:v>
      </x:c>
      <x:c r="AP8" s="57">
        <x:f t="shared" si="1"/>
        <x:v>46358</x:v>
      </x:c>
      <x:c r="AQ8" s="57">
        <x:f t="shared" si="1"/>
        <x:v>46359</x:v>
      </x:c>
    </x:row>
    <x:row r="9" ht="24.950000762939453" customHeight="1">
      <x:c r="A9" s="58" t="str">
        <x:f>'Project Tracker'!A6</x:f>
        <x:v>P01</x:v>
      </x:c>
      <x:c r="B9" s="58" t="str">
        <x:f>'Project Tracker'!B6</x:f>
        <x:v>Kick-off and confirm brief</x:v>
      </x:c>
      <x:c r="C9" s="58" t="str">
        <x:f>'Project Tracker'!C6</x:f>
        <x:v>Accounts</x:v>
      </x:c>
      <x:c r="D9" s="60">
        <x:v>46328</x:v>
      </x:c>
      <x:c r="E9" s="61" t="n">
        <x:f>'Project Tracker'!D6</x:f>
        <x:v>46328</x:v>
      </x:c>
      <x:c r="F9" s="61" t="n">
        <x:f>'Project Tracker'!E6</x:f>
        <x:v>46328</x:v>
      </x:c>
      <x:c r="G9" s="58" t="str">
        <x:f>'Project Tracker'!F6</x:f>
        <x:v>Complete</x:v>
      </x:c>
      <x:c r="H9" s="59"/>
      <x:c r="I9" s="62" t="n">
        <x:f t="shared" ref="I9:I20" si="2">MAX(0,F9-E9)</x:f>
        <x:v>0</x:v>
      </x:c>
      <x:c r="J9" s="62" t="str">
        <x:f t="shared" ref="J9:J20" si="3">IF(H9="","—",IFERROR(IF(INDEX($F$9:$F$20,MATCH(H9,$A$9:$A$20,0))&gt;=D9,"CONFLICT","OK"),"CHECK ID"))</x:f>
        <x:v>—</x:v>
      </x:c>
      <x:c r="K9" s="58" t="str">
        <x:f>'Project Tracker'!G6</x:f>
        <x:v>AE</x:v>
      </x:c>
      <x:c r="L9" s="63" t="str">
        <x:f t="shared" ref="L9:U20" si="4">IF(OR($D9="",$F9=""),"",IF(L$8=$F9,"◆",IF(L$8=$E9,"│",IF(AND(L$8&gt;=$D9,L$8&lt;$F9),"■",""))))</x:f>
        <x:v>◆</x:v>
      </x:c>
      <x:c r="M9" s="63" t="str">
        <x:f t="shared" si="4"/>
      </x:c>
      <x:c r="N9" s="63" t="str">
        <x:f t="shared" si="4"/>
      </x:c>
      <x:c r="O9" s="63" t="str">
        <x:f t="shared" si="4"/>
      </x:c>
      <x:c r="P9" s="63" t="str">
        <x:f t="shared" si="4"/>
      </x:c>
      <x:c r="Q9" s="63" t="str">
        <x:f t="shared" si="4"/>
      </x:c>
      <x:c r="R9" s="63" t="str">
        <x:f t="shared" si="4"/>
      </x:c>
      <x:c r="S9" s="63" t="str">
        <x:f t="shared" si="4"/>
      </x:c>
      <x:c r="T9" s="63" t="str">
        <x:f t="shared" si="4"/>
      </x:c>
      <x:c r="U9" s="63" t="str">
        <x:f t="shared" si="4"/>
      </x:c>
      <x:c r="V9" s="63" t="str">
        <x:f t="shared" ref="V9:AE20" si="5">IF(OR($D9="",$F9=""),"",IF(V$8=$F9,"◆",IF(V$8=$E9,"│",IF(AND(V$8&gt;=$D9,V$8&lt;$F9),"■",""))))</x:f>
      </x:c>
      <x:c r="W9" s="63" t="str">
        <x:f t="shared" si="5"/>
      </x:c>
      <x:c r="X9" s="63" t="str">
        <x:f t="shared" si="5"/>
      </x:c>
      <x:c r="Y9" s="63" t="str">
        <x:f t="shared" si="5"/>
      </x:c>
      <x:c r="Z9" s="63" t="str">
        <x:f t="shared" si="5"/>
      </x:c>
      <x:c r="AA9" s="63" t="str">
        <x:f t="shared" si="5"/>
      </x:c>
      <x:c r="AB9" s="63" t="str">
        <x:f t="shared" si="5"/>
      </x:c>
      <x:c r="AC9" s="63" t="str">
        <x:f t="shared" si="5"/>
      </x:c>
      <x:c r="AD9" s="63" t="str">
        <x:f t="shared" si="5"/>
      </x:c>
      <x:c r="AE9" s="63" t="str">
        <x:f t="shared" si="5"/>
      </x:c>
      <x:c r="AF9" s="63" t="str">
        <x:f t="shared" ref="AF9:AQ20" si="6">IF(OR($D9="",$F9=""),"",IF(AF$8=$F9,"◆",IF(AF$8=$E9,"│",IF(AND(AF$8&gt;=$D9,AF$8&lt;$F9),"■",""))))</x:f>
      </x:c>
      <x:c r="AG9" s="63" t="str">
        <x:f t="shared" si="6"/>
      </x:c>
      <x:c r="AH9" s="63" t="str">
        <x:f t="shared" si="6"/>
      </x:c>
      <x:c r="AI9" s="63" t="str">
        <x:f t="shared" si="6"/>
      </x:c>
      <x:c r="AJ9" s="63" t="str">
        <x:f t="shared" si="6"/>
      </x:c>
      <x:c r="AK9" s="63" t="str">
        <x:f t="shared" si="6"/>
      </x:c>
      <x:c r="AL9" s="63" t="str">
        <x:f t="shared" si="6"/>
      </x:c>
      <x:c r="AM9" s="63" t="str">
        <x:f t="shared" si="6"/>
      </x:c>
      <x:c r="AN9" s="63" t="str">
        <x:f t="shared" si="6"/>
      </x:c>
      <x:c r="AO9" s="63" t="str">
        <x:f t="shared" si="6"/>
      </x:c>
      <x:c r="AP9" s="63" t="str">
        <x:f t="shared" si="6"/>
      </x:c>
      <x:c r="AQ9" s="63" t="str">
        <x:f t="shared" si="6"/>
      </x:c>
    </x:row>
    <x:row r="10" ht="24.950000762939453" customHeight="1">
      <x:c r="A10" s="64" t="str">
        <x:f>'Project Tracker'!A7</x:f>
        <x:v>P02</x:v>
      </x:c>
      <x:c r="B10" s="64" t="str">
        <x:f>'Project Tracker'!B7</x:f>
        <x:v>Scope &amp; budget approval</x:v>
      </x:c>
      <x:c r="C10" s="64" t="str">
        <x:f>'Project Tracker'!C7</x:f>
        <x:v>Accounts</x:v>
      </x:c>
      <x:c r="D10" s="60">
        <x:v>46329</x:v>
      </x:c>
      <x:c r="E10" s="65" t="n">
        <x:f>'Project Tracker'!D7</x:f>
        <x:v>46329</x:v>
      </x:c>
      <x:c r="F10" s="65" t="n">
        <x:f>'Project Tracker'!E7</x:f>
        <x:v>46329</x:v>
      </x:c>
      <x:c r="G10" s="64" t="str">
        <x:f>'Project Tracker'!F7</x:f>
        <x:v>Complete</x:v>
      </x:c>
      <x:c r="H10" s="59" t="s">
        <x:v>42</x:v>
      </x:c>
      <x:c r="I10" s="66">
        <x:f t="shared" si="2"/>
        <x:v>0</x:v>
      </x:c>
      <x:c r="J10" s="66" t="str">
        <x:f t="shared" si="3"/>
        <x:v>OK</x:v>
      </x:c>
      <x:c r="K10" s="64" t="str">
        <x:f>'Project Tracker'!G7</x:f>
        <x:v>AM</x:v>
      </x:c>
      <x:c r="L10" s="63" t="str">
        <x:f t="shared" si="4"/>
      </x:c>
      <x:c r="M10" s="63" t="str">
        <x:f t="shared" si="4"/>
        <x:v>◆</x:v>
      </x:c>
      <x:c r="N10" s="63" t="str">
        <x:f t="shared" si="4"/>
      </x:c>
      <x:c r="O10" s="63" t="str">
        <x:f t="shared" si="4"/>
      </x:c>
      <x:c r="P10" s="63" t="str">
        <x:f t="shared" si="4"/>
      </x:c>
      <x:c r="Q10" s="63" t="str">
        <x:f t="shared" si="4"/>
      </x:c>
      <x:c r="R10" s="63" t="str">
        <x:f t="shared" si="4"/>
      </x:c>
      <x:c r="S10" s="63" t="str">
        <x:f t="shared" si="4"/>
      </x:c>
      <x:c r="T10" s="63" t="str">
        <x:f t="shared" si="4"/>
      </x:c>
      <x:c r="U10" s="63" t="str">
        <x:f t="shared" si="4"/>
      </x:c>
      <x:c r="V10" s="63" t="str">
        <x:f t="shared" si="5"/>
      </x:c>
      <x:c r="W10" s="63" t="str">
        <x:f t="shared" si="5"/>
      </x:c>
      <x:c r="X10" s="63" t="str">
        <x:f t="shared" si="5"/>
      </x:c>
      <x:c r="Y10" s="63" t="str">
        <x:f t="shared" si="5"/>
      </x:c>
      <x:c r="Z10" s="63" t="str">
        <x:f t="shared" si="5"/>
      </x:c>
      <x:c r="AA10" s="63" t="str">
        <x:f t="shared" si="5"/>
      </x:c>
      <x:c r="AB10" s="63" t="str">
        <x:f t="shared" si="5"/>
      </x:c>
      <x:c r="AC10" s="63" t="str">
        <x:f t="shared" si="5"/>
      </x:c>
      <x:c r="AD10" s="63" t="str">
        <x:f t="shared" si="5"/>
      </x:c>
      <x:c r="AE10" s="63" t="str">
        <x:f t="shared" si="5"/>
      </x:c>
      <x:c r="AF10" s="63" t="str">
        <x:f t="shared" si="6"/>
      </x:c>
      <x:c r="AG10" s="63" t="str">
        <x:f t="shared" si="6"/>
      </x:c>
      <x:c r="AH10" s="63" t="str">
        <x:f t="shared" si="6"/>
      </x:c>
      <x:c r="AI10" s="63" t="str">
        <x:f t="shared" si="6"/>
      </x:c>
      <x:c r="AJ10" s="63" t="str">
        <x:f t="shared" si="6"/>
      </x:c>
      <x:c r="AK10" s="63" t="str">
        <x:f t="shared" si="6"/>
      </x:c>
      <x:c r="AL10" s="63" t="str">
        <x:f t="shared" si="6"/>
      </x:c>
      <x:c r="AM10" s="63" t="str">
        <x:f t="shared" si="6"/>
      </x:c>
      <x:c r="AN10" s="63" t="str">
        <x:f t="shared" si="6"/>
      </x:c>
      <x:c r="AO10" s="63" t="str">
        <x:f t="shared" si="6"/>
      </x:c>
      <x:c r="AP10" s="63" t="str">
        <x:f t="shared" si="6"/>
      </x:c>
      <x:c r="AQ10" s="63" t="str">
        <x:f t="shared" si="6"/>
      </x:c>
    </x:row>
    <x:row r="11" ht="24.950000762939453" customHeight="1">
      <x:c r="A11" s="58" t="str">
        <x:f>'Project Tracker'!A8</x:f>
        <x:v>P03</x:v>
      </x:c>
      <x:c r="B11" s="58" t="str">
        <x:f>'Project Tracker'!B8</x:f>
        <x:v>Literature source pack</x:v>
      </x:c>
      <x:c r="C11" s="58" t="str">
        <x:f>'Project Tracker'!C8</x:f>
        <x:v>Scientific</x:v>
      </x:c>
      <x:c r="D11" s="60">
        <x:v>46330</x:v>
      </x:c>
      <x:c r="E11" s="61" t="n">
        <x:f>'Project Tracker'!D8</x:f>
        <x:v>46331</x:v>
      </x:c>
      <x:c r="F11" s="61" t="n">
        <x:f>'Project Tracker'!E8</x:f>
        <x:v>46331</x:v>
      </x:c>
      <x:c r="G11" s="58" t="str">
        <x:f>'Project Tracker'!F8</x:f>
        <x:v>Complete</x:v>
      </x:c>
      <x:c r="H11" s="59" t="s">
        <x:v>48</x:v>
      </x:c>
      <x:c r="I11" s="62">
        <x:f t="shared" si="2"/>
        <x:v>0</x:v>
      </x:c>
      <x:c r="J11" s="62" t="str">
        <x:f t="shared" si="3"/>
        <x:v>OK</x:v>
      </x:c>
      <x:c r="K11" s="58" t="str">
        <x:f>'Project Tracker'!G8</x:f>
        <x:v>Writer</x:v>
      </x:c>
      <x:c r="L11" s="63" t="str">
        <x:f t="shared" si="4"/>
      </x:c>
      <x:c r="M11" s="63" t="str">
        <x:f t="shared" si="4"/>
      </x:c>
      <x:c r="N11" s="63" t="str">
        <x:f t="shared" si="4"/>
        <x:v>■</x:v>
      </x:c>
      <x:c r="O11" s="63" t="str">
        <x:f t="shared" si="4"/>
        <x:v>◆</x:v>
      </x:c>
      <x:c r="P11" s="63" t="str">
        <x:f t="shared" si="4"/>
      </x:c>
      <x:c r="Q11" s="63" t="str">
        <x:f t="shared" si="4"/>
      </x:c>
      <x:c r="R11" s="63" t="str">
        <x:f t="shared" si="4"/>
      </x:c>
      <x:c r="S11" s="63" t="str">
        <x:f t="shared" si="4"/>
      </x:c>
      <x:c r="T11" s="63" t="str">
        <x:f t="shared" si="4"/>
      </x:c>
      <x:c r="U11" s="63" t="str">
        <x:f t="shared" si="4"/>
      </x:c>
      <x:c r="V11" s="63" t="str">
        <x:f t="shared" si="5"/>
      </x:c>
      <x:c r="W11" s="63" t="str">
        <x:f t="shared" si="5"/>
      </x:c>
      <x:c r="X11" s="63" t="str">
        <x:f t="shared" si="5"/>
      </x:c>
      <x:c r="Y11" s="63" t="str">
        <x:f t="shared" si="5"/>
      </x:c>
      <x:c r="Z11" s="63" t="str">
        <x:f t="shared" si="5"/>
      </x:c>
      <x:c r="AA11" s="63" t="str">
        <x:f t="shared" si="5"/>
      </x:c>
      <x:c r="AB11" s="63" t="str">
        <x:f t="shared" si="5"/>
      </x:c>
      <x:c r="AC11" s="63" t="str">
        <x:f t="shared" si="5"/>
      </x:c>
      <x:c r="AD11" s="63" t="str">
        <x:f t="shared" si="5"/>
      </x:c>
      <x:c r="AE11" s="63" t="str">
        <x:f t="shared" si="5"/>
      </x:c>
      <x:c r="AF11" s="63" t="str">
        <x:f t="shared" si="6"/>
      </x:c>
      <x:c r="AG11" s="63" t="str">
        <x:f t="shared" si="6"/>
      </x:c>
      <x:c r="AH11" s="63" t="str">
        <x:f t="shared" si="6"/>
      </x:c>
      <x:c r="AI11" s="63" t="str">
        <x:f t="shared" si="6"/>
      </x:c>
      <x:c r="AJ11" s="63" t="str">
        <x:f t="shared" si="6"/>
      </x:c>
      <x:c r="AK11" s="63" t="str">
        <x:f t="shared" si="6"/>
      </x:c>
      <x:c r="AL11" s="63" t="str">
        <x:f t="shared" si="6"/>
      </x:c>
      <x:c r="AM11" s="63" t="str">
        <x:f t="shared" si="6"/>
      </x:c>
      <x:c r="AN11" s="63" t="str">
        <x:f t="shared" si="6"/>
      </x:c>
      <x:c r="AO11" s="63" t="str">
        <x:f t="shared" si="6"/>
      </x:c>
      <x:c r="AP11" s="63" t="str">
        <x:f t="shared" si="6"/>
      </x:c>
      <x:c r="AQ11" s="63" t="str">
        <x:f t="shared" si="6"/>
      </x:c>
    </x:row>
    <x:row r="12" ht="24.950000762939453" customHeight="1">
      <x:c r="A12" s="64" t="str">
        <x:f>'Project Tracker'!A9</x:f>
        <x:v>P04</x:v>
      </x:c>
      <x:c r="B12" s="64" t="str">
        <x:f>'Project Tracker'!B9</x:f>
        <x:v>18-slide first draft</x:v>
      </x:c>
      <x:c r="C12" s="64" t="str">
        <x:f>'Project Tracker'!C9</x:f>
        <x:v>Scientific</x:v>
      </x:c>
      <x:c r="D12" s="60">
        <x:v>46332</x:v>
      </x:c>
      <x:c r="E12" s="65" t="n">
        <x:f>'Project Tracker'!D9</x:f>
        <x:v>46335</x:v>
      </x:c>
      <x:c r="F12" s="65" t="n">
        <x:f>'Project Tracker'!E9</x:f>
        <x:v>46338</x:v>
      </x:c>
      <x:c r="G12" s="64" t="str">
        <x:f>'Project Tracker'!F9</x:f>
        <x:v>In progress</x:v>
      </x:c>
      <x:c r="H12" s="59" t="s">
        <x:v>52</x:v>
      </x:c>
      <x:c r="I12" s="66">
        <x:f t="shared" si="2"/>
        <x:v>3</x:v>
      </x:c>
      <x:c r="J12" s="66" t="str">
        <x:f t="shared" si="3"/>
        <x:v>OK</x:v>
      </x:c>
      <x:c r="K12" s="64" t="str">
        <x:f>'Project Tracker'!G9</x:f>
        <x:v>Writer</x:v>
      </x:c>
      <x:c r="L12" s="63" t="str">
        <x:f t="shared" si="4"/>
      </x:c>
      <x:c r="M12" s="63" t="str">
        <x:f t="shared" si="4"/>
      </x:c>
      <x:c r="N12" s="63" t="str">
        <x:f t="shared" si="4"/>
      </x:c>
      <x:c r="O12" s="63" t="str">
        <x:f t="shared" si="4"/>
      </x:c>
      <x:c r="P12" s="63" t="str">
        <x:f t="shared" si="4"/>
        <x:v>■</x:v>
      </x:c>
      <x:c r="Q12" s="63" t="str">
        <x:f t="shared" si="4"/>
        <x:v>■</x:v>
      </x:c>
      <x:c r="R12" s="63" t="str">
        <x:f t="shared" si="4"/>
        <x:v>■</x:v>
      </x:c>
      <x:c r="S12" s="63" t="str">
        <x:f t="shared" si="4"/>
        <x:v>│</x:v>
      </x:c>
      <x:c r="T12" s="63" t="str">
        <x:f t="shared" si="4"/>
        <x:v>■</x:v>
      </x:c>
      <x:c r="U12" s="63" t="str">
        <x:f t="shared" si="4"/>
        <x:v>■</x:v>
      </x:c>
      <x:c r="V12" s="63" t="str">
        <x:f t="shared" si="5"/>
        <x:v>◆</x:v>
      </x:c>
      <x:c r="W12" s="63" t="str">
        <x:f t="shared" si="5"/>
      </x:c>
      <x:c r="X12" s="63" t="str">
        <x:f t="shared" si="5"/>
      </x:c>
      <x:c r="Y12" s="63" t="str">
        <x:f t="shared" si="5"/>
      </x:c>
      <x:c r="Z12" s="63" t="str">
        <x:f t="shared" si="5"/>
      </x:c>
      <x:c r="AA12" s="63" t="str">
        <x:f t="shared" si="5"/>
      </x:c>
      <x:c r="AB12" s="63" t="str">
        <x:f t="shared" si="5"/>
      </x:c>
      <x:c r="AC12" s="63" t="str">
        <x:f t="shared" si="5"/>
      </x:c>
      <x:c r="AD12" s="63" t="str">
        <x:f t="shared" si="5"/>
      </x:c>
      <x:c r="AE12" s="63" t="str">
        <x:f t="shared" si="5"/>
      </x:c>
      <x:c r="AF12" s="63" t="str">
        <x:f t="shared" si="6"/>
      </x:c>
      <x:c r="AG12" s="63" t="str">
        <x:f t="shared" si="6"/>
      </x:c>
      <x:c r="AH12" s="63" t="str">
        <x:f t="shared" si="6"/>
      </x:c>
      <x:c r="AI12" s="63" t="str">
        <x:f t="shared" si="6"/>
      </x:c>
      <x:c r="AJ12" s="63" t="str">
        <x:f t="shared" si="6"/>
      </x:c>
      <x:c r="AK12" s="63" t="str">
        <x:f t="shared" si="6"/>
      </x:c>
      <x:c r="AL12" s="63" t="str">
        <x:f t="shared" si="6"/>
      </x:c>
      <x:c r="AM12" s="63" t="str">
        <x:f t="shared" si="6"/>
      </x:c>
      <x:c r="AN12" s="63" t="str">
        <x:f t="shared" si="6"/>
      </x:c>
      <x:c r="AO12" s="63" t="str">
        <x:f t="shared" si="6"/>
      </x:c>
      <x:c r="AP12" s="63" t="str">
        <x:f t="shared" si="6"/>
      </x:c>
      <x:c r="AQ12" s="63" t="str">
        <x:f t="shared" si="6"/>
      </x:c>
    </x:row>
    <x:row r="13" ht="24.950000762939453" customHeight="1">
      <x:c r="A13" s="58" t="str">
        <x:f>'Project Tracker'!A10</x:f>
        <x:v>P05</x:v>
      </x:c>
      <x:c r="B13" s="58" t="str">
        <x:f>'Project Tracker'!B10</x:f>
        <x:v>Scientific &amp; accuracy review</x:v>
      </x:c>
      <x:c r="C13" s="58" t="str">
        <x:f>'Project Tracker'!C10</x:f>
        <x:v>Review</x:v>
      </x:c>
      <x:c r="D13" s="60">
        <x:v>46340</x:v>
      </x:c>
      <x:c r="E13" s="61" t="n">
        <x:f>'Project Tracker'!D10</x:f>
        <x:v>46337</x:v>
      </x:c>
      <x:c r="F13" s="61" t="n">
        <x:f>'Project Tracker'!E10</x:f>
        <x:v>46340</x:v>
      </x:c>
      <x:c r="G13" s="58" t="str">
        <x:f>'Project Tracker'!F10</x:f>
        <x:v>Blocked</x:v>
      </x:c>
      <x:c r="H13" s="59" t="s">
        <x:v>57</x:v>
      </x:c>
      <x:c r="I13" s="62">
        <x:f t="shared" si="2"/>
        <x:v>3</x:v>
      </x:c>
      <x:c r="J13" s="62" t="str">
        <x:f t="shared" si="3"/>
        <x:v>OK</x:v>
      </x:c>
      <x:c r="K13" s="58" t="str">
        <x:f>'Project Tracker'!G10</x:f>
        <x:v>Reviewer</x:v>
      </x:c>
      <x:c r="L13" s="63" t="str">
        <x:f t="shared" si="4"/>
      </x:c>
      <x:c r="M13" s="63" t="str">
        <x:f t="shared" si="4"/>
      </x:c>
      <x:c r="N13" s="63" t="str">
        <x:f t="shared" si="4"/>
      </x:c>
      <x:c r="O13" s="63" t="str">
        <x:f t="shared" si="4"/>
      </x:c>
      <x:c r="P13" s="63" t="str">
        <x:f t="shared" si="4"/>
      </x:c>
      <x:c r="Q13" s="63" t="str">
        <x:f t="shared" si="4"/>
      </x:c>
      <x:c r="R13" s="63" t="str">
        <x:f t="shared" si="4"/>
      </x:c>
      <x:c r="S13" s="63" t="str">
        <x:f t="shared" si="4"/>
      </x:c>
      <x:c r="T13" s="63" t="str">
        <x:f t="shared" si="4"/>
      </x:c>
      <x:c r="U13" s="63" t="str">
        <x:f t="shared" si="4"/>
        <x:v>│</x:v>
      </x:c>
      <x:c r="V13" s="63" t="str">
        <x:f t="shared" si="5"/>
      </x:c>
      <x:c r="W13" s="63" t="str">
        <x:f t="shared" si="5"/>
      </x:c>
      <x:c r="X13" s="63" t="str">
        <x:f t="shared" si="5"/>
        <x:v>◆</x:v>
      </x:c>
      <x:c r="Y13" s="63" t="str">
        <x:f t="shared" si="5"/>
      </x:c>
      <x:c r="Z13" s="63" t="str">
        <x:f t="shared" si="5"/>
      </x:c>
      <x:c r="AA13" s="63" t="str">
        <x:f t="shared" si="5"/>
      </x:c>
      <x:c r="AB13" s="63" t="str">
        <x:f t="shared" si="5"/>
      </x:c>
      <x:c r="AC13" s="63" t="str">
        <x:f t="shared" si="5"/>
      </x:c>
      <x:c r="AD13" s="63" t="str">
        <x:f t="shared" si="5"/>
      </x:c>
      <x:c r="AE13" s="63" t="str">
        <x:f t="shared" si="5"/>
      </x:c>
      <x:c r="AF13" s="63" t="str">
        <x:f t="shared" si="6"/>
      </x:c>
      <x:c r="AG13" s="63" t="str">
        <x:f t="shared" si="6"/>
      </x:c>
      <x:c r="AH13" s="63" t="str">
        <x:f t="shared" si="6"/>
      </x:c>
      <x:c r="AI13" s="63" t="str">
        <x:f t="shared" si="6"/>
      </x:c>
      <x:c r="AJ13" s="63" t="str">
        <x:f t="shared" si="6"/>
      </x:c>
      <x:c r="AK13" s="63" t="str">
        <x:f t="shared" si="6"/>
      </x:c>
      <x:c r="AL13" s="63" t="str">
        <x:f t="shared" si="6"/>
      </x:c>
      <x:c r="AM13" s="63" t="str">
        <x:f t="shared" si="6"/>
      </x:c>
      <x:c r="AN13" s="63" t="str">
        <x:f t="shared" si="6"/>
      </x:c>
      <x:c r="AO13" s="63" t="str">
        <x:f t="shared" si="6"/>
      </x:c>
      <x:c r="AP13" s="63" t="str">
        <x:f t="shared" si="6"/>
      </x:c>
      <x:c r="AQ13" s="63" t="str">
        <x:f t="shared" si="6"/>
      </x:c>
    </x:row>
    <x:row r="14" ht="24.950000762939453" customHeight="1">
      <x:c r="A14" s="64" t="str">
        <x:f>'Project Tracker'!A11</x:f>
        <x:v>P06</x:v>
      </x:c>
      <x:c r="B14" s="64" t="str">
        <x:f>'Project Tracker'!B11</x:f>
        <x:v>Design &amp; formatting</x:v>
      </x:c>
      <x:c r="C14" s="64" t="str">
        <x:f>'Project Tracker'!C11</x:f>
        <x:v>Creative</x:v>
      </x:c>
      <x:c r="D14" s="60">
        <x:v>46342</x:v>
      </x:c>
      <x:c r="E14" s="65" t="n">
        <x:f>'Project Tracker'!D11</x:f>
        <x:v>46339</x:v>
      </x:c>
      <x:c r="F14" s="65" t="n">
        <x:f>'Project Tracker'!E11</x:f>
        <x:v>46345</x:v>
      </x:c>
      <x:c r="G14" s="64" t="str">
        <x:f>'Project Tracker'!F11</x:f>
        <x:v>Not started</x:v>
      </x:c>
      <x:c r="H14" s="59" t="s">
        <x:v>61</x:v>
      </x:c>
      <x:c r="I14" s="66">
        <x:f t="shared" si="2"/>
        <x:v>6</x:v>
      </x:c>
      <x:c r="J14" s="66" t="str">
        <x:f t="shared" si="3"/>
        <x:v>OK</x:v>
      </x:c>
      <x:c r="K14" s="64" t="str">
        <x:f>'Project Tracker'!G11</x:f>
        <x:v>Designer</x:v>
      </x:c>
      <x:c r="L14" s="63" t="str">
        <x:f t="shared" si="4"/>
      </x:c>
      <x:c r="M14" s="63" t="str">
        <x:f t="shared" si="4"/>
      </x:c>
      <x:c r="N14" s="63" t="str">
        <x:f t="shared" si="4"/>
      </x:c>
      <x:c r="O14" s="63" t="str">
        <x:f t="shared" si="4"/>
      </x:c>
      <x:c r="P14" s="63" t="str">
        <x:f t="shared" si="4"/>
      </x:c>
      <x:c r="Q14" s="63" t="str">
        <x:f t="shared" si="4"/>
      </x:c>
      <x:c r="R14" s="63" t="str">
        <x:f t="shared" si="4"/>
      </x:c>
      <x:c r="S14" s="63" t="str">
        <x:f t="shared" si="4"/>
      </x:c>
      <x:c r="T14" s="63" t="str">
        <x:f t="shared" si="4"/>
      </x:c>
      <x:c r="U14" s="63" t="str">
        <x:f t="shared" si="4"/>
      </x:c>
      <x:c r="V14" s="63" t="str">
        <x:f t="shared" si="5"/>
      </x:c>
      <x:c r="W14" s="63" t="str">
        <x:f t="shared" si="5"/>
        <x:v>│</x:v>
      </x:c>
      <x:c r="X14" s="63" t="str">
        <x:f t="shared" si="5"/>
      </x:c>
      <x:c r="Y14" s="63" t="str">
        <x:f t="shared" si="5"/>
      </x:c>
      <x:c r="Z14" s="63" t="str">
        <x:f t="shared" si="5"/>
        <x:v>■</x:v>
      </x:c>
      <x:c r="AA14" s="63" t="str">
        <x:f t="shared" si="5"/>
        <x:v>■</x:v>
      </x:c>
      <x:c r="AB14" s="63" t="str">
        <x:f t="shared" si="5"/>
        <x:v>■</x:v>
      </x:c>
      <x:c r="AC14" s="63" t="str">
        <x:f t="shared" si="5"/>
        <x:v>◆</x:v>
      </x:c>
      <x:c r="AD14" s="63" t="str">
        <x:f t="shared" si="5"/>
      </x:c>
      <x:c r="AE14" s="63" t="str">
        <x:f t="shared" si="5"/>
      </x:c>
      <x:c r="AF14" s="63" t="str">
        <x:f t="shared" si="6"/>
      </x:c>
      <x:c r="AG14" s="63" t="str">
        <x:f t="shared" si="6"/>
      </x:c>
      <x:c r="AH14" s="63" t="str">
        <x:f t="shared" si="6"/>
      </x:c>
      <x:c r="AI14" s="63" t="str">
        <x:f t="shared" si="6"/>
      </x:c>
      <x:c r="AJ14" s="63" t="str">
        <x:f t="shared" si="6"/>
      </x:c>
      <x:c r="AK14" s="63" t="str">
        <x:f t="shared" si="6"/>
      </x:c>
      <x:c r="AL14" s="63" t="str">
        <x:f t="shared" si="6"/>
      </x:c>
      <x:c r="AM14" s="63" t="str">
        <x:f t="shared" si="6"/>
      </x:c>
      <x:c r="AN14" s="63" t="str">
        <x:f t="shared" si="6"/>
      </x:c>
      <x:c r="AO14" s="63" t="str">
        <x:f t="shared" si="6"/>
      </x:c>
      <x:c r="AP14" s="63" t="str">
        <x:f t="shared" si="6"/>
      </x:c>
      <x:c r="AQ14" s="63" t="str">
        <x:f t="shared" si="6"/>
      </x:c>
    </x:row>
    <x:row r="15" ht="24.950000762939453" customHeight="1">
      <x:c r="A15" s="58" t="str">
        <x:f>'Project Tracker'!A12</x:f>
        <x:v>P07</x:v>
      </x:c>
      <x:c r="B15" s="58" t="str">
        <x:f>'Project Tracker'!B12</x:f>
        <x:v>Client content review</x:v>
      </x:c>
      <x:c r="C15" s="58" t="str">
        <x:f>'Project Tracker'!C12</x:f>
        <x:v>Client</x:v>
      </x:c>
      <x:c r="D15" s="60">
        <x:v>46346</x:v>
      </x:c>
      <x:c r="E15" s="61" t="n">
        <x:f>'Project Tracker'!D12</x:f>
        <x:v>46343</x:v>
      </x:c>
      <x:c r="F15" s="61" t="n">
        <x:f>'Project Tracker'!E12</x:f>
        <x:v>46347</x:v>
      </x:c>
      <x:c r="G15" s="58" t="str">
        <x:f>'Project Tracker'!F12</x:f>
        <x:v>Not started</x:v>
      </x:c>
      <x:c r="H15" s="59" t="s">
        <x:v>67</x:v>
      </x:c>
      <x:c r="I15" s="62">
        <x:f t="shared" si="2"/>
        <x:v>4</x:v>
      </x:c>
      <x:c r="J15" s="62" t="str">
        <x:f t="shared" si="3"/>
        <x:v>OK</x:v>
      </x:c>
      <x:c r="K15" s="58" t="str">
        <x:f>'Project Tracker'!G12</x:f>
        <x:v>AM</x:v>
      </x:c>
      <x:c r="L15" s="63" t="str">
        <x:f t="shared" si="4"/>
      </x:c>
      <x:c r="M15" s="63" t="str">
        <x:f t="shared" si="4"/>
      </x:c>
      <x:c r="N15" s="63" t="str">
        <x:f t="shared" si="4"/>
      </x:c>
      <x:c r="O15" s="63" t="str">
        <x:f t="shared" si="4"/>
      </x:c>
      <x:c r="P15" s="63" t="str">
        <x:f t="shared" si="4"/>
      </x:c>
      <x:c r="Q15" s="63" t="str">
        <x:f t="shared" si="4"/>
      </x:c>
      <x:c r="R15" s="63" t="str">
        <x:f t="shared" si="4"/>
      </x:c>
      <x:c r="S15" s="63" t="str">
        <x:f t="shared" si="4"/>
      </x:c>
      <x:c r="T15" s="63" t="str">
        <x:f t="shared" si="4"/>
      </x:c>
      <x:c r="U15" s="63" t="str">
        <x:f t="shared" si="4"/>
      </x:c>
      <x:c r="V15" s="63" t="str">
        <x:f t="shared" si="5"/>
      </x:c>
      <x:c r="W15" s="63" t="str">
        <x:f t="shared" si="5"/>
      </x:c>
      <x:c r="X15" s="63" t="str">
        <x:f t="shared" si="5"/>
      </x:c>
      <x:c r="Y15" s="63" t="str">
        <x:f t="shared" si="5"/>
      </x:c>
      <x:c r="Z15" s="63" t="str">
        <x:f t="shared" si="5"/>
      </x:c>
      <x:c r="AA15" s="63" t="str">
        <x:f t="shared" si="5"/>
        <x:v>│</x:v>
      </x:c>
      <x:c r="AB15" s="63" t="str">
        <x:f t="shared" si="5"/>
      </x:c>
      <x:c r="AC15" s="63" t="str">
        <x:f t="shared" si="5"/>
      </x:c>
      <x:c r="AD15" s="63" t="str">
        <x:f t="shared" si="5"/>
        <x:v>■</x:v>
      </x:c>
      <x:c r="AE15" s="63" t="str">
        <x:f t="shared" si="5"/>
        <x:v>◆</x:v>
      </x:c>
      <x:c r="AF15" s="63" t="str">
        <x:f t="shared" si="6"/>
      </x:c>
      <x:c r="AG15" s="63" t="str">
        <x:f t="shared" si="6"/>
      </x:c>
      <x:c r="AH15" s="63" t="str">
        <x:f t="shared" si="6"/>
      </x:c>
      <x:c r="AI15" s="63" t="str">
        <x:f t="shared" si="6"/>
      </x:c>
      <x:c r="AJ15" s="63" t="str">
        <x:f t="shared" si="6"/>
      </x:c>
      <x:c r="AK15" s="63" t="str">
        <x:f t="shared" si="6"/>
      </x:c>
      <x:c r="AL15" s="63" t="str">
        <x:f t="shared" si="6"/>
      </x:c>
      <x:c r="AM15" s="63" t="str">
        <x:f t="shared" si="6"/>
      </x:c>
      <x:c r="AN15" s="63" t="str">
        <x:f t="shared" si="6"/>
      </x:c>
      <x:c r="AO15" s="63" t="str">
        <x:f t="shared" si="6"/>
      </x:c>
      <x:c r="AP15" s="63" t="str">
        <x:f t="shared" si="6"/>
      </x:c>
      <x:c r="AQ15" s="63" t="str">
        <x:f t="shared" si="6"/>
      </x:c>
    </x:row>
    <x:row r="16" ht="24.950000762939453" customHeight="1">
      <x:c r="A16" s="64" t="str">
        <x:f>'Project Tracker'!A13</x:f>
        <x:v>P08</x:v>
      </x:c>
      <x:c r="B16" s="64" t="str">
        <x:f>'Project Tracker'!B13</x:f>
        <x:v>Final medical &amp; client approval</x:v>
      </x:c>
      <x:c r="C16" s="64" t="str">
        <x:f>'Project Tracker'!C13</x:f>
        <x:v>Review</x:v>
      </x:c>
      <x:c r="D16" s="60">
        <x:v>46348</x:v>
      </x:c>
      <x:c r="E16" s="65" t="n">
        <x:f>'Project Tracker'!D13</x:f>
        <x:v>46346</x:v>
      </x:c>
      <x:c r="F16" s="65" t="n">
        <x:f>'Project Tracker'!E13</x:f>
        <x:v>46349</x:v>
      </x:c>
      <x:c r="G16" s="64" t="str">
        <x:f>'Project Tracker'!F13</x:f>
        <x:v>Not started</x:v>
      </x:c>
      <x:c r="H16" s="59" t="s">
        <x:v>73</x:v>
      </x:c>
      <x:c r="I16" s="66">
        <x:f t="shared" si="2"/>
        <x:v>3</x:v>
      </x:c>
      <x:c r="J16" s="66" t="str">
        <x:f t="shared" si="3"/>
        <x:v>OK</x:v>
      </x:c>
      <x:c r="K16" s="64" t="str">
        <x:f>'Project Tracker'!G13</x:f>
        <x:v>AM</x:v>
      </x:c>
      <x:c r="L16" s="63" t="str">
        <x:f t="shared" si="4"/>
      </x:c>
      <x:c r="M16" s="63" t="str">
        <x:f t="shared" si="4"/>
      </x:c>
      <x:c r="N16" s="63" t="str">
        <x:f t="shared" si="4"/>
      </x:c>
      <x:c r="O16" s="63" t="str">
        <x:f t="shared" si="4"/>
      </x:c>
      <x:c r="P16" s="63" t="str">
        <x:f t="shared" si="4"/>
      </x:c>
      <x:c r="Q16" s="63" t="str">
        <x:f t="shared" si="4"/>
      </x:c>
      <x:c r="R16" s="63" t="str">
        <x:f t="shared" si="4"/>
      </x:c>
      <x:c r="S16" s="63" t="str">
        <x:f t="shared" si="4"/>
      </x:c>
      <x:c r="T16" s="63" t="str">
        <x:f t="shared" si="4"/>
      </x:c>
      <x:c r="U16" s="63" t="str">
        <x:f t="shared" si="4"/>
      </x:c>
      <x:c r="V16" s="63" t="str">
        <x:f t="shared" si="5"/>
      </x:c>
      <x:c r="W16" s="63" t="str">
        <x:f t="shared" si="5"/>
      </x:c>
      <x:c r="X16" s="63" t="str">
        <x:f t="shared" si="5"/>
      </x:c>
      <x:c r="Y16" s="63" t="str">
        <x:f t="shared" si="5"/>
      </x:c>
      <x:c r="Z16" s="63" t="str">
        <x:f t="shared" si="5"/>
      </x:c>
      <x:c r="AA16" s="63" t="str">
        <x:f t="shared" si="5"/>
      </x:c>
      <x:c r="AB16" s="63" t="str">
        <x:f t="shared" si="5"/>
      </x:c>
      <x:c r="AC16" s="63" t="str">
        <x:f t="shared" si="5"/>
      </x:c>
      <x:c r="AD16" s="63" t="str">
        <x:f t="shared" si="5"/>
        <x:v>│</x:v>
      </x:c>
      <x:c r="AE16" s="63" t="str">
        <x:f t="shared" si="5"/>
      </x:c>
      <x:c r="AF16" s="63" t="str">
        <x:f t="shared" si="6"/>
        <x:v>■</x:v>
      </x:c>
      <x:c r="AG16" s="63" t="str">
        <x:f t="shared" si="6"/>
        <x:v>◆</x:v>
      </x:c>
      <x:c r="AH16" s="63" t="str">
        <x:f t="shared" si="6"/>
      </x:c>
      <x:c r="AI16" s="63" t="str">
        <x:f t="shared" si="6"/>
      </x:c>
      <x:c r="AJ16" s="63" t="str">
        <x:f t="shared" si="6"/>
      </x:c>
      <x:c r="AK16" s="63" t="str">
        <x:f t="shared" si="6"/>
      </x:c>
      <x:c r="AL16" s="63" t="str">
        <x:f t="shared" si="6"/>
      </x:c>
      <x:c r="AM16" s="63" t="str">
        <x:f t="shared" si="6"/>
      </x:c>
      <x:c r="AN16" s="63" t="str">
        <x:f t="shared" si="6"/>
      </x:c>
      <x:c r="AO16" s="63" t="str">
        <x:f t="shared" si="6"/>
      </x:c>
      <x:c r="AP16" s="63" t="str">
        <x:f t="shared" si="6"/>
      </x:c>
      <x:c r="AQ16" s="63" t="str">
        <x:f t="shared" si="6"/>
      </x:c>
    </x:row>
    <x:row r="17" ht="24.950000762939453" customHeight="1">
      <x:c r="A17" s="58" t="str">
        <x:f>'Project Tracker'!A14</x:f>
        <x:v>P09</x:v>
      </x:c>
      <x:c r="B17" s="58" t="str">
        <x:f>'Project Tracker'!B14</x:f>
        <x:v>Speaker briefing &amp; rehearsal</x:v>
      </x:c>
      <x:c r="C17" s="58" t="str">
        <x:f>'Project Tracker'!C14</x:f>
        <x:v>Events</x:v>
      </x:c>
      <x:c r="D17" s="60">
        <x:v>46349</x:v>
      </x:c>
      <x:c r="E17" s="61" t="n">
        <x:f>'Project Tracker'!D14</x:f>
        <x:v>46349</x:v>
      </x:c>
      <x:c r="F17" s="61" t="n">
        <x:f>'Project Tracker'!E14</x:f>
        <x:v>46349</x:v>
      </x:c>
      <x:c r="G17" s="58" t="str">
        <x:f>'Project Tracker'!F14</x:f>
        <x:v>Not started</x:v>
      </x:c>
      <x:c r="H17" s="59" t="s">
        <x:v>76</x:v>
      </x:c>
      <x:c r="I17" s="62">
        <x:f t="shared" si="2"/>
        <x:v>0</x:v>
      </x:c>
      <x:c r="J17" s="62" t="str">
        <x:f t="shared" si="3"/>
        <x:v>CONFLICT</x:v>
      </x:c>
      <x:c r="K17" s="58" t="str">
        <x:f>'Project Tracker'!G14</x:f>
        <x:v>AE</x:v>
      </x:c>
      <x:c r="L17" s="63" t="str">
        <x:f t="shared" si="4"/>
      </x:c>
      <x:c r="M17" s="63" t="str">
        <x:f t="shared" si="4"/>
      </x:c>
      <x:c r="N17" s="63" t="str">
        <x:f t="shared" si="4"/>
      </x:c>
      <x:c r="O17" s="63" t="str">
        <x:f t="shared" si="4"/>
      </x:c>
      <x:c r="P17" s="63" t="str">
        <x:f t="shared" si="4"/>
      </x:c>
      <x:c r="Q17" s="63" t="str">
        <x:f t="shared" si="4"/>
      </x:c>
      <x:c r="R17" s="63" t="str">
        <x:f t="shared" si="4"/>
      </x:c>
      <x:c r="S17" s="63" t="str">
        <x:f t="shared" si="4"/>
      </x:c>
      <x:c r="T17" s="63" t="str">
        <x:f t="shared" si="4"/>
      </x:c>
      <x:c r="U17" s="63" t="str">
        <x:f t="shared" si="4"/>
      </x:c>
      <x:c r="V17" s="63" t="str">
        <x:f t="shared" si="5"/>
      </x:c>
      <x:c r="W17" s="63" t="str">
        <x:f t="shared" si="5"/>
      </x:c>
      <x:c r="X17" s="63" t="str">
        <x:f t="shared" si="5"/>
      </x:c>
      <x:c r="Y17" s="63" t="str">
        <x:f t="shared" si="5"/>
      </x:c>
      <x:c r="Z17" s="63" t="str">
        <x:f t="shared" si="5"/>
      </x:c>
      <x:c r="AA17" s="63" t="str">
        <x:f t="shared" si="5"/>
      </x:c>
      <x:c r="AB17" s="63" t="str">
        <x:f t="shared" si="5"/>
      </x:c>
      <x:c r="AC17" s="63" t="str">
        <x:f t="shared" si="5"/>
      </x:c>
      <x:c r="AD17" s="63" t="str">
        <x:f t="shared" si="5"/>
      </x:c>
      <x:c r="AE17" s="63" t="str">
        <x:f t="shared" si="5"/>
      </x:c>
      <x:c r="AF17" s="63" t="str">
        <x:f t="shared" si="6"/>
      </x:c>
      <x:c r="AG17" s="63" t="str">
        <x:f t="shared" si="6"/>
        <x:v>◆</x:v>
      </x:c>
      <x:c r="AH17" s="63" t="str">
        <x:f t="shared" si="6"/>
      </x:c>
      <x:c r="AI17" s="63" t="str">
        <x:f t="shared" si="6"/>
      </x:c>
      <x:c r="AJ17" s="63" t="str">
        <x:f t="shared" si="6"/>
      </x:c>
      <x:c r="AK17" s="63" t="str">
        <x:f t="shared" si="6"/>
      </x:c>
      <x:c r="AL17" s="63" t="str">
        <x:f t="shared" si="6"/>
      </x:c>
      <x:c r="AM17" s="63" t="str">
        <x:f t="shared" si="6"/>
      </x:c>
      <x:c r="AN17" s="63" t="str">
        <x:f t="shared" si="6"/>
      </x:c>
      <x:c r="AO17" s="63" t="str">
        <x:f t="shared" si="6"/>
      </x:c>
      <x:c r="AP17" s="63" t="str">
        <x:f t="shared" si="6"/>
      </x:c>
      <x:c r="AQ17" s="63" t="str">
        <x:f t="shared" si="6"/>
      </x:c>
    </x:row>
    <x:row r="18" ht="24.950000762939453" customHeight="1">
      <x:c r="A18" s="64" t="str">
        <x:f>'Project Tracker'!A15</x:f>
        <x:v>P10</x:v>
      </x:c>
      <x:c r="B18" s="64" t="str">
        <x:f>'Project Tracker'!B15</x:f>
        <x:v>Webinar logistics &amp; dry run</x:v>
      </x:c>
      <x:c r="C18" s="64" t="str">
        <x:f>'Project Tracker'!C15</x:f>
        <x:v>Events</x:v>
      </x:c>
      <x:c r="D18" s="60">
        <x:v>46349</x:v>
      </x:c>
      <x:c r="E18" s="65" t="n">
        <x:f>'Project Tracker'!D15</x:f>
        <x:v>46350</x:v>
      </x:c>
      <x:c r="F18" s="65" t="n">
        <x:f>'Project Tracker'!E15</x:f>
        <x:v>46350</x:v>
      </x:c>
      <x:c r="G18" s="64" t="str">
        <x:f>'Project Tracker'!F15</x:f>
        <x:v>Not started</x:v>
      </x:c>
      <x:c r="H18" s="59" t="s">
        <x:v>76</x:v>
      </x:c>
      <x:c r="I18" s="66">
        <x:f t="shared" si="2"/>
        <x:v>0</x:v>
      </x:c>
      <x:c r="J18" s="66" t="str">
        <x:f t="shared" si="3"/>
        <x:v>CONFLICT</x:v>
      </x:c>
      <x:c r="K18" s="64" t="str">
        <x:f>'Project Tracker'!G15</x:f>
        <x:v>AE</x:v>
      </x:c>
      <x:c r="L18" s="63" t="str">
        <x:f t="shared" si="4"/>
      </x:c>
      <x:c r="M18" s="63" t="str">
        <x:f t="shared" si="4"/>
      </x:c>
      <x:c r="N18" s="63" t="str">
        <x:f t="shared" si="4"/>
      </x:c>
      <x:c r="O18" s="63" t="str">
        <x:f t="shared" si="4"/>
      </x:c>
      <x:c r="P18" s="63" t="str">
        <x:f t="shared" si="4"/>
      </x:c>
      <x:c r="Q18" s="63" t="str">
        <x:f t="shared" si="4"/>
      </x:c>
      <x:c r="R18" s="63" t="str">
        <x:f t="shared" si="4"/>
      </x:c>
      <x:c r="S18" s="63" t="str">
        <x:f t="shared" si="4"/>
      </x:c>
      <x:c r="T18" s="63" t="str">
        <x:f t="shared" si="4"/>
      </x:c>
      <x:c r="U18" s="63" t="str">
        <x:f t="shared" si="4"/>
      </x:c>
      <x:c r="V18" s="63" t="str">
        <x:f t="shared" si="5"/>
      </x:c>
      <x:c r="W18" s="63" t="str">
        <x:f t="shared" si="5"/>
      </x:c>
      <x:c r="X18" s="63" t="str">
        <x:f t="shared" si="5"/>
      </x:c>
      <x:c r="Y18" s="63" t="str">
        <x:f t="shared" si="5"/>
      </x:c>
      <x:c r="Z18" s="63" t="str">
        <x:f t="shared" si="5"/>
      </x:c>
      <x:c r="AA18" s="63" t="str">
        <x:f t="shared" si="5"/>
      </x:c>
      <x:c r="AB18" s="63" t="str">
        <x:f t="shared" si="5"/>
      </x:c>
      <x:c r="AC18" s="63" t="str">
        <x:f t="shared" si="5"/>
      </x:c>
      <x:c r="AD18" s="63" t="str">
        <x:f t="shared" si="5"/>
      </x:c>
      <x:c r="AE18" s="63" t="str">
        <x:f t="shared" si="5"/>
      </x:c>
      <x:c r="AF18" s="63" t="str">
        <x:f t="shared" si="6"/>
      </x:c>
      <x:c r="AG18" s="63" t="str">
        <x:f t="shared" si="6"/>
        <x:v>■</x:v>
      </x:c>
      <x:c r="AH18" s="63" t="str">
        <x:f t="shared" si="6"/>
        <x:v>◆</x:v>
      </x:c>
      <x:c r="AI18" s="63" t="str">
        <x:f t="shared" si="6"/>
      </x:c>
      <x:c r="AJ18" s="63" t="str">
        <x:f t="shared" si="6"/>
      </x:c>
      <x:c r="AK18" s="63" t="str">
        <x:f t="shared" si="6"/>
      </x:c>
      <x:c r="AL18" s="63" t="str">
        <x:f t="shared" si="6"/>
      </x:c>
      <x:c r="AM18" s="63" t="str">
        <x:f t="shared" si="6"/>
      </x:c>
      <x:c r="AN18" s="63" t="str">
        <x:f t="shared" si="6"/>
      </x:c>
      <x:c r="AO18" s="63" t="str">
        <x:f t="shared" si="6"/>
      </x:c>
      <x:c r="AP18" s="63" t="str">
        <x:f t="shared" si="6"/>
      </x:c>
      <x:c r="AQ18" s="63" t="str">
        <x:f t="shared" si="6"/>
      </x:c>
    </x:row>
    <x:row r="19" ht="24.950000762939453" customHeight="1">
      <x:c r="A19" s="58" t="str">
        <x:f>'Project Tracker'!A16</x:f>
        <x:v>P11</x:v>
      </x:c>
      <x:c r="B19" s="58" t="str">
        <x:f>'Project Tracker'!B16</x:f>
        <x:v>HCP educational webinar</x:v>
      </x:c>
      <x:c r="C19" s="58" t="str">
        <x:f>'Project Tracker'!C16</x:f>
        <x:v>Events</x:v>
      </x:c>
      <x:c r="D19" s="60">
        <x:v>46351</x:v>
      </x:c>
      <x:c r="E19" s="61" t="n">
        <x:f>'Project Tracker'!D16</x:f>
        <x:v>46351</x:v>
      </x:c>
      <x:c r="F19" s="61" t="n">
        <x:f>'Project Tracker'!E16</x:f>
        <x:v>46351</x:v>
      </x:c>
      <x:c r="G19" s="58" t="str">
        <x:f>'Project Tracker'!F16</x:f>
        <x:v>Not started</x:v>
      </x:c>
      <x:c r="H19" s="59" t="s">
        <x:v>83</x:v>
      </x:c>
      <x:c r="I19" s="62">
        <x:f t="shared" si="2"/>
        <x:v>0</x:v>
      </x:c>
      <x:c r="J19" s="62" t="str">
        <x:f t="shared" si="3"/>
        <x:v>OK</x:v>
      </x:c>
      <x:c r="K19" s="58" t="str">
        <x:f>'Project Tracker'!G16</x:f>
        <x:v>Team</x:v>
      </x:c>
      <x:c r="L19" s="63" t="str">
        <x:f t="shared" si="4"/>
      </x:c>
      <x:c r="M19" s="63" t="str">
        <x:f t="shared" si="4"/>
      </x:c>
      <x:c r="N19" s="63" t="str">
        <x:f t="shared" si="4"/>
      </x:c>
      <x:c r="O19" s="63" t="str">
        <x:f t="shared" si="4"/>
      </x:c>
      <x:c r="P19" s="63" t="str">
        <x:f t="shared" si="4"/>
      </x:c>
      <x:c r="Q19" s="63" t="str">
        <x:f t="shared" si="4"/>
      </x:c>
      <x:c r="R19" s="63" t="str">
        <x:f t="shared" si="4"/>
      </x:c>
      <x:c r="S19" s="63" t="str">
        <x:f t="shared" si="4"/>
      </x:c>
      <x:c r="T19" s="63" t="str">
        <x:f t="shared" si="4"/>
      </x:c>
      <x:c r="U19" s="63" t="str">
        <x:f t="shared" si="4"/>
      </x:c>
      <x:c r="V19" s="63" t="str">
        <x:f t="shared" si="5"/>
      </x:c>
      <x:c r="W19" s="63" t="str">
        <x:f t="shared" si="5"/>
      </x:c>
      <x:c r="X19" s="63" t="str">
        <x:f t="shared" si="5"/>
      </x:c>
      <x:c r="Y19" s="63" t="str">
        <x:f t="shared" si="5"/>
      </x:c>
      <x:c r="Z19" s="63" t="str">
        <x:f t="shared" si="5"/>
      </x:c>
      <x:c r="AA19" s="63" t="str">
        <x:f t="shared" si="5"/>
      </x:c>
      <x:c r="AB19" s="63" t="str">
        <x:f t="shared" si="5"/>
      </x:c>
      <x:c r="AC19" s="63" t="str">
        <x:f t="shared" si="5"/>
      </x:c>
      <x:c r="AD19" s="63" t="str">
        <x:f t="shared" si="5"/>
      </x:c>
      <x:c r="AE19" s="63" t="str">
        <x:f t="shared" si="5"/>
      </x:c>
      <x:c r="AF19" s="63" t="str">
        <x:f t="shared" si="6"/>
      </x:c>
      <x:c r="AG19" s="63" t="str">
        <x:f t="shared" si="6"/>
      </x:c>
      <x:c r="AH19" s="63" t="str">
        <x:f t="shared" si="6"/>
      </x:c>
      <x:c r="AI19" s="63" t="str">
        <x:f t="shared" si="6"/>
        <x:v>◆</x:v>
      </x:c>
      <x:c r="AJ19" s="63" t="str">
        <x:f t="shared" si="6"/>
      </x:c>
      <x:c r="AK19" s="63" t="str">
        <x:f t="shared" si="6"/>
      </x:c>
      <x:c r="AL19" s="63" t="str">
        <x:f t="shared" si="6"/>
      </x:c>
      <x:c r="AM19" s="63" t="str">
        <x:f t="shared" si="6"/>
      </x:c>
      <x:c r="AN19" s="63" t="str">
        <x:f t="shared" si="6"/>
      </x:c>
      <x:c r="AO19" s="63" t="str">
        <x:f t="shared" si="6"/>
      </x:c>
      <x:c r="AP19" s="63" t="str">
        <x:f t="shared" si="6"/>
      </x:c>
      <x:c r="AQ19" s="63" t="str">
        <x:f t="shared" si="6"/>
      </x:c>
    </x:row>
    <x:row r="20" ht="24.950000762939453" customHeight="1">
      <x:c r="A20" s="64" t="str">
        <x:f>'Project Tracker'!A17</x:f>
        <x:v>P12</x:v>
      </x:c>
      <x:c r="B20" s="64" t="str">
        <x:f>'Project Tracker'!B17</x:f>
        <x:v>Post-webinar outcomes report</x:v>
      </x:c>
      <x:c r="C20" s="64" t="str">
        <x:f>'Project Tracker'!C17</x:f>
        <x:v>Accounts</x:v>
      </x:c>
      <x:c r="D20" s="60">
        <x:v>46352</x:v>
      </x:c>
      <x:c r="E20" s="65" t="n">
        <x:f>'Project Tracker'!D17</x:f>
        <x:v>46353</x:v>
      </x:c>
      <x:c r="F20" s="65" t="n">
        <x:f>'Project Tracker'!E17</x:f>
        <x:v>46353</x:v>
      </x:c>
      <x:c r="G20" s="64" t="str">
        <x:f>'Project Tracker'!F17</x:f>
        <x:v>Not started</x:v>
      </x:c>
      <x:c r="H20" s="59" t="s">
        <x:v>86</x:v>
      </x:c>
      <x:c r="I20" s="66">
        <x:f t="shared" si="2"/>
        <x:v>0</x:v>
      </x:c>
      <x:c r="J20" s="66" t="str">
        <x:f t="shared" si="3"/>
        <x:v>OK</x:v>
      </x:c>
      <x:c r="K20" s="64" t="str">
        <x:f>'Project Tracker'!G17</x:f>
        <x:v>AE</x:v>
      </x:c>
      <x:c r="L20" s="63" t="str">
        <x:f t="shared" si="4"/>
      </x:c>
      <x:c r="M20" s="63" t="str">
        <x:f t="shared" si="4"/>
      </x:c>
      <x:c r="N20" s="63" t="str">
        <x:f t="shared" si="4"/>
      </x:c>
      <x:c r="O20" s="63" t="str">
        <x:f t="shared" si="4"/>
      </x:c>
      <x:c r="P20" s="63" t="str">
        <x:f t="shared" si="4"/>
      </x:c>
      <x:c r="Q20" s="63" t="str">
        <x:f t="shared" si="4"/>
      </x:c>
      <x:c r="R20" s="63" t="str">
        <x:f t="shared" si="4"/>
      </x:c>
      <x:c r="S20" s="63" t="str">
        <x:f t="shared" si="4"/>
      </x:c>
      <x:c r="T20" s="63" t="str">
        <x:f t="shared" si="4"/>
      </x:c>
      <x:c r="U20" s="63" t="str">
        <x:f t="shared" si="4"/>
      </x:c>
      <x:c r="V20" s="63" t="str">
        <x:f t="shared" si="5"/>
      </x:c>
      <x:c r="W20" s="63" t="str">
        <x:f t="shared" si="5"/>
      </x:c>
      <x:c r="X20" s="63" t="str">
        <x:f t="shared" si="5"/>
      </x:c>
      <x:c r="Y20" s="63" t="str">
        <x:f t="shared" si="5"/>
      </x:c>
      <x:c r="Z20" s="63" t="str">
        <x:f t="shared" si="5"/>
      </x:c>
      <x:c r="AA20" s="63" t="str">
        <x:f t="shared" si="5"/>
      </x:c>
      <x:c r="AB20" s="63" t="str">
        <x:f t="shared" si="5"/>
      </x:c>
      <x:c r="AC20" s="63" t="str">
        <x:f t="shared" si="5"/>
      </x:c>
      <x:c r="AD20" s="63" t="str">
        <x:f t="shared" si="5"/>
      </x:c>
      <x:c r="AE20" s="63" t="str">
        <x:f t="shared" si="5"/>
      </x:c>
      <x:c r="AF20" s="63" t="str">
        <x:f t="shared" si="6"/>
      </x:c>
      <x:c r="AG20" s="63" t="str">
        <x:f t="shared" si="6"/>
      </x:c>
      <x:c r="AH20" s="63" t="str">
        <x:f t="shared" si="6"/>
      </x:c>
      <x:c r="AI20" s="63" t="str">
        <x:f t="shared" si="6"/>
      </x:c>
      <x:c r="AJ20" s="63" t="str">
        <x:f t="shared" si="6"/>
        <x:v>■</x:v>
      </x:c>
      <x:c r="AK20" s="63" t="str">
        <x:f t="shared" si="6"/>
        <x:v>◆</x:v>
      </x:c>
      <x:c r="AL20" s="63" t="str">
        <x:f t="shared" si="6"/>
      </x:c>
      <x:c r="AM20" s="63" t="str">
        <x:f t="shared" si="6"/>
      </x:c>
      <x:c r="AN20" s="63" t="str">
        <x:f t="shared" si="6"/>
      </x:c>
      <x:c r="AO20" s="63" t="str">
        <x:f t="shared" si="6"/>
      </x:c>
      <x:c r="AP20" s="63" t="str">
        <x:f t="shared" si="6"/>
      </x:c>
      <x:c r="AQ20" s="63" t="str">
        <x:f t="shared" si="6"/>
      </x:c>
    </x:row>
    <x:row r="22" ht="24.950000762939453" customHeight="1">
      <x:c r="A22" s="110" t="s">
        <x:v>365</x:v>
      </x:c>
      <x:c r="B22" s="110"/>
      <x:c r="C22" s="110"/>
      <x:c r="D22" s="110"/>
      <x:c r="E22" s="110"/>
      <x:c r="F22" s="110"/>
      <x:c r="G22" s="110"/>
      <x:c r="H22" s="110"/>
      <x:c r="I22" s="110"/>
      <x:c r="J22" s="110"/>
      <x:c r="K22" s="110"/>
      <x:c r="L22" s="110"/>
      <x:c r="M22" s="110"/>
      <x:c r="N22" s="110"/>
      <x:c r="O22" s="110"/>
      <x:c r="P22" s="110"/>
      <x:c r="Q22" s="110"/>
      <x:c r="R22" s="110"/>
      <x:c r="S22" s="110"/>
      <x:c r="T22" s="110"/>
      <x:c r="U22" s="110"/>
      <x:c r="V22" s="110"/>
      <x:c r="W22" s="110"/>
      <x:c r="X22" s="110"/>
      <x:c r="Y22" s="110"/>
      <x:c r="Z22" s="110"/>
      <x:c r="AA22" s="110"/>
      <x:c r="AB22" s="110"/>
      <x:c r="AC22" s="110"/>
      <x:c r="AD22" s="110"/>
      <x:c r="AE22" s="110"/>
      <x:c r="AF22" s="110"/>
      <x:c r="AG22" s="110"/>
      <x:c r="AH22" s="110"/>
      <x:c r="AI22" s="110"/>
      <x:c r="AJ22" s="110"/>
      <x:c r="AK22" s="110"/>
      <x:c r="AL22" s="110"/>
      <x:c r="AM22" s="110"/>
      <x:c r="AN22" s="110"/>
      <x:c r="AO22" s="110"/>
      <x:c r="AP22" s="110"/>
      <x:c r="AQ22" s="110"/>
    </x:row>
    <x:row r="23" ht="23.100000381469727" customHeight="1">
      <x:c r="A23" s="111" t="s">
        <x:v>366</x:v>
      </x:c>
      <x:c r="B23" s="111"/>
      <x:c r="C23" s="111"/>
      <x:c r="D23" s="111"/>
      <x:c r="E23" s="111"/>
      <x:c r="F23" s="111"/>
      <x:c r="G23" s="111"/>
      <x:c r="H23" s="111"/>
      <x:c r="I23" s="111"/>
      <x:c r="J23" s="111"/>
      <x:c r="K23" s="111"/>
      <x:c r="L23" s="111"/>
      <x:c r="M23" s="111"/>
      <x:c r="N23" s="111"/>
      <x:c r="O23" s="111"/>
      <x:c r="P23" s="111"/>
      <x:c r="Q23" s="111"/>
      <x:c r="R23" s="111"/>
      <x:c r="S23" s="111"/>
      <x:c r="T23" s="111"/>
      <x:c r="U23" s="111"/>
      <x:c r="V23" s="111"/>
      <x:c r="W23" s="111"/>
      <x:c r="X23" s="111"/>
      <x:c r="Y23" s="111"/>
      <x:c r="Z23" s="111"/>
      <x:c r="AA23" s="111"/>
      <x:c r="AB23" s="111"/>
      <x:c r="AC23" s="111"/>
      <x:c r="AD23" s="111"/>
      <x:c r="AE23" s="111"/>
      <x:c r="AF23" s="111"/>
      <x:c r="AG23" s="111"/>
      <x:c r="AH23" s="111"/>
      <x:c r="AI23" s="111"/>
      <x:c r="AJ23" s="111"/>
      <x:c r="AK23" s="111"/>
      <x:c r="AL23" s="111"/>
      <x:c r="AM23" s="111"/>
      <x:c r="AN23" s="111"/>
      <x:c r="AO23" s="111"/>
      <x:c r="AP23" s="111"/>
      <x:c r="AQ23" s="111"/>
    </x:row>
    <x:row r="24" ht="23.100000381469727" customHeight="1">
      <x:c r="A24" s="112" t="str">
        <x:v>Dependencies are planning checks, not evidence that review slots, resourcing or approvals are confirmed.</x:v>
      </x:c>
      <x:c r="B24" s="112"/>
      <x:c r="C24" s="112"/>
      <x:c r="D24" s="112"/>
      <x:c r="E24" s="112"/>
      <x:c r="F24" s="112"/>
      <x:c r="G24" s="112"/>
      <x:c r="H24" s="112"/>
      <x:c r="I24" s="112"/>
      <x:c r="J24" s="112"/>
      <x:c r="K24" s="112"/>
      <x:c r="L24" s="112"/>
      <x:c r="M24" s="112"/>
      <x:c r="N24" s="112"/>
      <x:c r="O24" s="112"/>
      <x:c r="P24" s="112"/>
      <x:c r="Q24" s="112"/>
      <x:c r="R24" s="112"/>
      <x:c r="S24" s="112"/>
      <x:c r="T24" s="112"/>
      <x:c r="U24" s="112"/>
      <x:c r="V24" s="112"/>
      <x:c r="W24" s="112"/>
      <x:c r="X24" s="112"/>
      <x:c r="Y24" s="112"/>
      <x:c r="Z24" s="112"/>
      <x:c r="AA24" s="112"/>
      <x:c r="AB24" s="112"/>
      <x:c r="AC24" s="112"/>
      <x:c r="AD24" s="112"/>
      <x:c r="AE24" s="112"/>
      <x:c r="AF24" s="112"/>
      <x:c r="AG24" s="112"/>
      <x:c r="AH24" s="112"/>
      <x:c r="AI24" s="112"/>
      <x:c r="AJ24" s="112"/>
      <x:c r="AK24" s="112"/>
      <x:c r="AL24" s="112"/>
      <x:c r="AM24" s="112"/>
      <x:c r="AN24" s="112"/>
      <x:c r="AO24" s="112"/>
      <x:c r="AP24" s="112"/>
      <x:c r="AQ24" s="112"/>
    </x:row>
    <x:row r="25" ht="23.100000381469727" customHeight="1">
      <x:c r="A25" s="111" t="str">
        <x:v>The current plan retains unresolved downstream conflicts and weekend availability risks pending approval.</x:v>
      </x:c>
      <x:c r="B25" s="111"/>
      <x:c r="C25" s="111"/>
      <x:c r="D25" s="111"/>
      <x:c r="E25" s="111"/>
      <x:c r="F25" s="111"/>
      <x:c r="G25" s="111"/>
      <x:c r="H25" s="111"/>
      <x:c r="I25" s="111"/>
      <x:c r="J25" s="111"/>
      <x:c r="K25" s="111"/>
      <x:c r="L25" s="111"/>
      <x:c r="M25" s="111"/>
      <x:c r="N25" s="111"/>
      <x:c r="O25" s="111"/>
      <x:c r="P25" s="111"/>
      <x:c r="Q25" s="111"/>
      <x:c r="R25" s="111"/>
      <x:c r="S25" s="111"/>
      <x:c r="T25" s="111"/>
      <x:c r="U25" s="111"/>
      <x:c r="V25" s="111"/>
      <x:c r="W25" s="111"/>
      <x:c r="X25" s="111"/>
      <x:c r="Y25" s="111"/>
      <x:c r="Z25" s="111"/>
      <x:c r="AA25" s="111"/>
      <x:c r="AB25" s="111"/>
      <x:c r="AC25" s="111"/>
      <x:c r="AD25" s="111"/>
      <x:c r="AE25" s="111"/>
      <x:c r="AF25" s="111"/>
      <x:c r="AG25" s="111"/>
      <x:c r="AH25" s="111"/>
      <x:c r="AI25" s="111"/>
      <x:c r="AJ25" s="111"/>
      <x:c r="AK25" s="111"/>
      <x:c r="AL25" s="111"/>
      <x:c r="AM25" s="111"/>
      <x:c r="AN25" s="111"/>
      <x:c r="AO25" s="111"/>
      <x:c r="AP25" s="111"/>
      <x:c r="AQ25" s="111"/>
    </x:row>
    <x:row r="26" ht="23.100000381469727" customHeight="1">
      <x:c r="A26" s="112" t="s">
        <x:v>367</x:v>
      </x:c>
      <x:c r="B26" s="112"/>
      <x:c r="C26" s="112"/>
      <x:c r="D26" s="112"/>
      <x:c r="E26" s="112"/>
      <x:c r="F26" s="112"/>
      <x:c r="G26" s="112"/>
      <x:c r="H26" s="112"/>
      <x:c r="I26" s="112"/>
      <x:c r="J26" s="112"/>
      <x:c r="K26" s="112"/>
      <x:c r="L26" s="112"/>
      <x:c r="M26" s="112"/>
      <x:c r="N26" s="112"/>
      <x:c r="O26" s="112"/>
      <x:c r="P26" s="112"/>
      <x:c r="Q26" s="112"/>
      <x:c r="R26" s="112"/>
      <x:c r="S26" s="112"/>
      <x:c r="T26" s="112"/>
      <x:c r="U26" s="112"/>
      <x:c r="V26" s="112"/>
      <x:c r="W26" s="112"/>
      <x:c r="X26" s="112"/>
      <x:c r="Y26" s="112"/>
      <x:c r="Z26" s="112"/>
      <x:c r="AA26" s="112"/>
      <x:c r="AB26" s="112"/>
      <x:c r="AC26" s="112"/>
      <x:c r="AD26" s="112"/>
      <x:c r="AE26" s="112"/>
      <x:c r="AF26" s="112"/>
      <x:c r="AG26" s="112"/>
      <x:c r="AH26" s="112"/>
      <x:c r="AI26" s="112"/>
      <x:c r="AJ26" s="112"/>
      <x:c r="AK26" s="112"/>
      <x:c r="AL26" s="112"/>
      <x:c r="AM26" s="112"/>
      <x:c r="AN26" s="112"/>
      <x:c r="AO26" s="112"/>
      <x:c r="AP26" s="112"/>
      <x:c r="AQ26" s="112"/>
    </x:row>
    <x:row r="27" ht="23.100000381469727" customHeight="1">
      <x:c r="A27" s="111" t="s">
        <x:v>368</x:v>
      </x:c>
      <x:c r="B27" s="111"/>
      <x:c r="C27" s="111"/>
      <x:c r="D27" s="111"/>
      <x:c r="E27" s="111"/>
      <x:c r="F27" s="111"/>
      <x:c r="G27" s="111"/>
      <x:c r="H27" s="111"/>
      <x:c r="I27" s="111"/>
      <x:c r="J27" s="111"/>
      <x:c r="K27" s="111"/>
      <x:c r="L27" s="111"/>
      <x:c r="M27" s="111"/>
      <x:c r="N27" s="111"/>
      <x:c r="O27" s="111"/>
      <x:c r="P27" s="111"/>
      <x:c r="Q27" s="111"/>
      <x:c r="R27" s="111"/>
      <x:c r="S27" s="111"/>
      <x:c r="T27" s="111"/>
      <x:c r="U27" s="111"/>
      <x:c r="V27" s="111"/>
      <x:c r="W27" s="111"/>
      <x:c r="X27" s="111"/>
      <x:c r="Y27" s="111"/>
      <x:c r="Z27" s="111"/>
      <x:c r="AA27" s="111"/>
      <x:c r="AB27" s="111"/>
      <x:c r="AC27" s="111"/>
      <x:c r="AD27" s="111"/>
      <x:c r="AE27" s="111"/>
      <x:c r="AF27" s="111"/>
      <x:c r="AG27" s="111"/>
      <x:c r="AH27" s="111"/>
      <x:c r="AI27" s="111"/>
      <x:c r="AJ27" s="111"/>
      <x:c r="AK27" s="111"/>
      <x:c r="AL27" s="111"/>
      <x:c r="AM27" s="111"/>
      <x:c r="AN27" s="111"/>
      <x:c r="AO27" s="111"/>
      <x:c r="AP27" s="111"/>
      <x:c r="AQ27" s="111"/>
    </x:row>
  </x:sheetData>
  <x:mergeCells>
    <x:mergeCell ref="A27:AQ27"/>
    <x:mergeCell ref="A1:K2"/>
    <x:mergeCell ref="L1:AQ2"/>
    <x:mergeCell ref="A3:K3"/>
    <x:mergeCell ref="L3:AQ3"/>
    <x:mergeCell ref="A5:K5"/>
    <x:mergeCell ref="L5:AQ5"/>
    <x:mergeCell ref="A22:AQ22"/>
    <x:mergeCell ref="A23:AQ23"/>
    <x:mergeCell ref="A24:AQ24"/>
    <x:mergeCell ref="A25:AQ25"/>
    <x:mergeCell ref="A26:AQ26"/>
    <x:mergeCell ref="S6:Y6"/>
    <x:mergeCell ref="Z6:AF6"/>
    <x:mergeCell ref="AG6:AM6"/>
    <x:mergeCell ref="AN6:AQ6"/>
    <x:mergeCell ref="A7:A8"/>
    <x:mergeCell ref="B7:B8"/>
    <x:mergeCell ref="C7:C8"/>
    <x:mergeCell ref="D7:D8"/>
    <x:mergeCell ref="E7:E8"/>
    <x:mergeCell ref="F7:F8"/>
    <x:mergeCell ref="G7:G8"/>
    <x:mergeCell ref="H7:H8"/>
    <x:mergeCell ref="I7:I8"/>
    <x:mergeCell ref="J7:J8"/>
    <x:mergeCell ref="K7:K8"/>
    <x:mergeCell ref="A4:B4"/>
    <x:mergeCell ref="E4:F4"/>
    <x:mergeCell ref="I4:J4"/>
    <x:mergeCell ref="A6:K6"/>
    <x:mergeCell ref="L6:R6"/>
  </x:mergeCells>
  <x:conditionalFormatting sqref="I9:I20">
    <x:cfRule type="expression" dxfId="9" priority="3">
      <x:formula>$I9&gt;0</x:formula>
    </x:cfRule>
  </x:conditionalFormatting>
  <x:conditionalFormatting sqref="J9:J20">
    <x:cfRule type="expression" dxfId="8" priority="2">
      <x:formula>$J9="CONFLICT"</x:formula>
    </x:cfRule>
  </x:conditionalFormatting>
  <x:conditionalFormatting sqref="L7:AQ8">
    <x:cfRule type="expression" dxfId="7" priority="1">
      <x:formula>WEEKDAY(L$8,2)&gt;5</x:formula>
    </x:cfRule>
  </x:conditionalFormatting>
  <x:conditionalFormatting sqref="L9:AQ20">
    <x:cfRule type="expression" dxfId="6" priority="4">
      <x:formula>AND(L$8&gt;=$D9,L$8&lt;=$E9,$G9="Complete")</x:formula>
    </x:cfRule>
    <x:cfRule type="expression" dxfId="5" priority="5">
      <x:formula>AND(L$8&gt;=$D9,L$8&lt;=$E9,$G9="In progress")</x:formula>
    </x:cfRule>
    <x:cfRule type="expression" dxfId="4" priority="6">
      <x:formula>AND(L$8&gt;=$D9,L$8&lt;=$E9,$G9="Blocked")</x:formula>
    </x:cfRule>
    <x:cfRule type="expression" dxfId="3" priority="7">
      <x:formula>AND(L$8&gt;=$D9,L$8&lt;=$E9,$G9="Not started")</x:formula>
    </x:cfRule>
    <x:cfRule type="expression" dxfId="2" priority="8">
      <x:formula>AND(L$8&gt;$E9,L$8&lt;=$F9,L$8&gt;=$D9)</x:formula>
    </x:cfRule>
    <x:cfRule type="expression" dxfId="1" priority="9">
      <x:formula>AND(L$8=$F9,$F9&lt;&gt;"")</x:formula>
    </x:cfRule>
    <x:cfRule type="expression" dxfId="0" priority="10">
      <x:formula>AND(L$8=$E9,L$8&lt;&gt;$F9)</x:formula>
    </x:cfRule>
  </x:conditionalFormatting>
  <x:pageMargins left="0.7" right="0.7" top="0.75" bottom="0.75" header="0.3" footer="0.3"/>
</x:worksheet>
</file>